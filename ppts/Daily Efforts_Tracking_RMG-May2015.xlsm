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105" windowWidth="14805" windowHeight="8010" tabRatio="804" activeTab="7"/>
  </bookViews>
  <sheets>
    <sheet name="Teams" sheetId="13" r:id="rId1"/>
    <sheet name="B2B" sheetId="6" r:id="rId2"/>
    <sheet name="StampsCollectibles" sheetId="15" r:id="rId3"/>
    <sheet name="Factory" sheetId="20" r:id="rId4"/>
    <sheet name="Service" sheetId="19" r:id="rId5"/>
    <sheet name="POLS" sheetId="16" r:id="rId6"/>
    <sheet name="Performance" sheetId="18" r:id="rId7"/>
    <sheet name="Automation" sheetId="17" r:id="rId8"/>
    <sheet name="BAP" sheetId="21" r:id="rId9"/>
    <sheet name="Causal Analysis" sheetId="24" r:id="rId10"/>
    <sheet name="Total Efforts" sheetId="23" r:id="rId11"/>
    <sheet name="Tasks List" sheetId="4" r:id="rId12"/>
  </sheets>
  <definedNames>
    <definedName name="_xlnm._FilterDatabase" localSheetId="7" hidden="1">Automation!$A$14:$J$123</definedName>
    <definedName name="_xlnm._FilterDatabase" localSheetId="1" hidden="1">B2B!$A$14:$J$145</definedName>
    <definedName name="_xlnm._FilterDatabase" localSheetId="8" hidden="1">BAP!$A$15:$J$146</definedName>
    <definedName name="_xlnm._FilterDatabase" localSheetId="3" hidden="1">Factory!$A$16:$J$147</definedName>
    <definedName name="_xlnm._FilterDatabase" localSheetId="6" hidden="1">Performance!$A$15:$J$125</definedName>
    <definedName name="_xlnm._FilterDatabase" localSheetId="5" hidden="1">POLS!$A$15:$J$87</definedName>
    <definedName name="_xlnm._FilterDatabase" localSheetId="4" hidden="1">Service!$A$15:$J$125</definedName>
    <definedName name="_xlnm._FilterDatabase" localSheetId="2" hidden="1">StampsCollectibles!$A$15:$J$146</definedName>
    <definedName name="Tasks">'Tasks List'!$A$1:$A$51</definedName>
  </definedNames>
  <calcPr calcId="125725"/>
</workbook>
</file>

<file path=xl/calcChain.xml><?xml version="1.0" encoding="utf-8"?>
<calcChain xmlns="http://schemas.openxmlformats.org/spreadsheetml/2006/main">
  <c r="I98" i="23"/>
  <c r="H98"/>
  <c r="G98"/>
  <c r="F98"/>
  <c r="E98"/>
  <c r="D98"/>
  <c r="C98"/>
  <c r="B98"/>
  <c r="I93"/>
  <c r="H93"/>
  <c r="G93"/>
  <c r="F93"/>
  <c r="E93"/>
  <c r="D93"/>
  <c r="C93"/>
  <c r="B93"/>
  <c r="I88"/>
  <c r="H88"/>
  <c r="G88"/>
  <c r="F88"/>
  <c r="E88"/>
  <c r="D88"/>
  <c r="C88"/>
  <c r="B88"/>
  <c r="I83"/>
  <c r="H83"/>
  <c r="G83"/>
  <c r="F83"/>
  <c r="E83"/>
  <c r="D83"/>
  <c r="C83"/>
  <c r="B83"/>
  <c r="I78"/>
  <c r="H78"/>
  <c r="G78"/>
  <c r="F78"/>
  <c r="E78"/>
  <c r="D78"/>
  <c r="C78"/>
  <c r="B78"/>
  <c r="I73"/>
  <c r="H73"/>
  <c r="G73"/>
  <c r="F73"/>
  <c r="E73"/>
  <c r="D73"/>
  <c r="C73"/>
  <c r="B73"/>
  <c r="I63"/>
  <c r="I68"/>
  <c r="H68"/>
  <c r="G68"/>
  <c r="F68"/>
  <c r="E68"/>
  <c r="D68"/>
  <c r="C68"/>
  <c r="B68"/>
  <c r="H63"/>
  <c r="G63"/>
  <c r="F63"/>
  <c r="E63"/>
  <c r="D63"/>
  <c r="C63"/>
  <c r="B63"/>
  <c r="B46"/>
  <c r="T63" l="1"/>
  <c r="O63"/>
  <c r="P63"/>
  <c r="S63"/>
  <c r="N63"/>
  <c r="R63"/>
  <c r="M63"/>
  <c r="Q63"/>
  <c r="W53"/>
  <c r="W52"/>
  <c r="W51"/>
  <c r="W50"/>
  <c r="W49"/>
  <c r="W48"/>
  <c r="W47"/>
  <c r="W46"/>
  <c r="W45"/>
  <c r="W44"/>
  <c r="W43"/>
  <c r="W42"/>
  <c r="W41"/>
  <c r="W40"/>
  <c r="W39"/>
  <c r="W38"/>
  <c r="W37"/>
  <c r="W36"/>
  <c r="W35"/>
  <c r="W34"/>
  <c r="W33"/>
  <c r="W32"/>
  <c r="W31"/>
  <c r="W30"/>
  <c r="W29"/>
  <c r="W28"/>
  <c r="W27"/>
  <c r="W26"/>
  <c r="W25"/>
  <c r="W24"/>
  <c r="W23"/>
  <c r="W22"/>
  <c r="W21"/>
  <c r="W20"/>
  <c r="W19"/>
  <c r="W18"/>
  <c r="W17"/>
  <c r="W16"/>
  <c r="W15"/>
  <c r="W14"/>
  <c r="W13"/>
  <c r="W12"/>
  <c r="W11"/>
  <c r="W10"/>
  <c r="W9"/>
  <c r="W8"/>
  <c r="W7"/>
  <c r="W6"/>
  <c r="W5"/>
  <c r="W4"/>
  <c r="W3"/>
  <c r="T53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Q53"/>
  <c r="Q52"/>
  <c r="Q51"/>
  <c r="Q50"/>
  <c r="Q49"/>
  <c r="Q48"/>
  <c r="Q47"/>
  <c r="Q46"/>
  <c r="Q45"/>
  <c r="Q44"/>
  <c r="Q43"/>
  <c r="Q42"/>
  <c r="Q41"/>
  <c r="Q40"/>
  <c r="Q39"/>
  <c r="Q38"/>
  <c r="Q37"/>
  <c r="Q36"/>
  <c r="Q35"/>
  <c r="Q34"/>
  <c r="Q33"/>
  <c r="Q32"/>
  <c r="Q31"/>
  <c r="Q30"/>
  <c r="Q29"/>
  <c r="Q28"/>
  <c r="Q27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B53"/>
  <c r="B52"/>
  <c r="B51"/>
  <c r="B50"/>
  <c r="B49"/>
  <c r="B48"/>
  <c r="B47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3"/>
  <c r="B4"/>
  <c r="B9"/>
  <c r="B8"/>
  <c r="B7"/>
  <c r="B6"/>
  <c r="B5"/>
  <c r="D347" i="20"/>
  <c r="D309"/>
  <c r="D271"/>
  <c r="D270" i="15"/>
  <c r="D158" i="21"/>
  <c r="D120"/>
  <c r="D83"/>
  <c r="D46"/>
  <c r="D9"/>
  <c r="D8"/>
  <c r="D7"/>
  <c r="D6"/>
  <c r="D5"/>
  <c r="D4"/>
  <c r="D3"/>
  <c r="D233" i="20"/>
  <c r="D196"/>
  <c r="D159"/>
  <c r="D121"/>
  <c r="D84"/>
  <c r="D47"/>
  <c r="D9"/>
  <c r="D8"/>
  <c r="D7"/>
  <c r="D6"/>
  <c r="D5"/>
  <c r="D4"/>
  <c r="D3"/>
  <c r="D120" i="19"/>
  <c r="D83"/>
  <c r="D46"/>
  <c r="D9"/>
  <c r="D8"/>
  <c r="D7"/>
  <c r="D6"/>
  <c r="D5"/>
  <c r="D4"/>
  <c r="D3"/>
  <c r="D120" i="18"/>
  <c r="D83"/>
  <c r="D46"/>
  <c r="D9"/>
  <c r="D8"/>
  <c r="D7"/>
  <c r="D6"/>
  <c r="D5"/>
  <c r="D4"/>
  <c r="D3"/>
  <c r="D45" i="17"/>
  <c r="D9"/>
  <c r="D8"/>
  <c r="D7"/>
  <c r="D6"/>
  <c r="D5"/>
  <c r="D4"/>
  <c r="D3"/>
  <c r="D83" i="16"/>
  <c r="D46"/>
  <c r="D9"/>
  <c r="D8"/>
  <c r="D7"/>
  <c r="D6"/>
  <c r="D5"/>
  <c r="D4"/>
  <c r="D3"/>
  <c r="D232" i="15"/>
  <c r="D195"/>
  <c r="D158"/>
  <c r="D120"/>
  <c r="D83"/>
  <c r="D46"/>
  <c r="D9"/>
  <c r="D8"/>
  <c r="D7"/>
  <c r="D6"/>
  <c r="D5"/>
  <c r="D4"/>
  <c r="D3"/>
  <c r="D45" i="6"/>
  <c r="D231"/>
  <c r="D194"/>
  <c r="D157"/>
  <c r="D119"/>
  <c r="D82"/>
  <c r="H5" i="13"/>
  <c r="H10"/>
  <c r="H18"/>
  <c r="E22"/>
  <c r="E17"/>
  <c r="E11"/>
  <c r="B8"/>
  <c r="B18"/>
  <c r="Z10" i="23" l="1"/>
  <c r="Z18"/>
  <c r="Z34"/>
  <c r="Z42"/>
  <c r="Z50"/>
  <c r="Z5"/>
  <c r="Z13"/>
  <c r="Z21"/>
  <c r="Z29"/>
  <c r="Z37"/>
  <c r="Z45"/>
  <c r="Z53"/>
  <c r="Z3"/>
  <c r="Z7"/>
  <c r="Z11"/>
  <c r="Z15"/>
  <c r="Z19"/>
  <c r="Z23"/>
  <c r="Z27"/>
  <c r="Z31"/>
  <c r="Z35"/>
  <c r="Z39"/>
  <c r="Z43"/>
  <c r="Z47"/>
  <c r="Z51"/>
  <c r="Z6"/>
  <c r="Z14"/>
  <c r="Z22"/>
  <c r="Z30"/>
  <c r="Z38"/>
  <c r="Z46"/>
  <c r="Z9"/>
  <c r="Z17"/>
  <c r="Z25"/>
  <c r="Z33"/>
  <c r="Z41"/>
  <c r="Z49"/>
  <c r="Z4"/>
  <c r="Z8"/>
  <c r="Z12"/>
  <c r="Z16"/>
  <c r="Z20"/>
  <c r="Z24"/>
  <c r="Z28"/>
  <c r="Z32"/>
  <c r="Z36"/>
  <c r="Z40"/>
  <c r="Z44"/>
  <c r="Z48"/>
  <c r="Z52"/>
  <c r="Z26"/>
  <c r="K2" i="13"/>
  <c r="D9" i="6"/>
  <c r="D8"/>
  <c r="D7"/>
  <c r="D6"/>
  <c r="D5"/>
  <c r="D4"/>
  <c r="D3"/>
  <c r="D9" i="4"/>
  <c r="D8"/>
  <c r="D7"/>
  <c r="D6"/>
  <c r="D5"/>
  <c r="D4"/>
  <c r="D3"/>
  <c r="Z54" i="23" l="1"/>
</calcChain>
</file>

<file path=xl/comments1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 xml:space="preserve">Input date in mm/dd/yyyy format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 xml:space="preserve">Input date in mm/dd/yyyy format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 xml:space="preserve">Input date in mm/dd/yyyy format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<sst xmlns="http://schemas.openxmlformats.org/spreadsheetml/2006/main" count="2602" uniqueCount="161">
  <si>
    <t>Leave</t>
  </si>
  <si>
    <t>Training</t>
  </si>
  <si>
    <t>Regression Testing</t>
  </si>
  <si>
    <t>Cross Project Support</t>
  </si>
  <si>
    <t>Configuration Management</t>
  </si>
  <si>
    <t>Test Coordination</t>
  </si>
  <si>
    <t>Quality Assurance</t>
  </si>
  <si>
    <t>Knowledge Transfer</t>
  </si>
  <si>
    <t>Test Execution</t>
  </si>
  <si>
    <t>Test Preparation</t>
  </si>
  <si>
    <t>Hours</t>
  </si>
  <si>
    <t>Task</t>
  </si>
  <si>
    <t>Test Case Design</t>
  </si>
  <si>
    <t>BDD Script</t>
  </si>
  <si>
    <t>Test Case Execution</t>
  </si>
  <si>
    <t>Defect Testing</t>
  </si>
  <si>
    <t>Defect Retest</t>
  </si>
  <si>
    <t>Test Case Update-Rework</t>
  </si>
  <si>
    <t>Improvement</t>
  </si>
  <si>
    <t>Testing Task</t>
  </si>
  <si>
    <t>Story</t>
  </si>
  <si>
    <t>Test Management Tasks</t>
  </si>
  <si>
    <t>Performance Testing</t>
  </si>
  <si>
    <t>Smoke Testing</t>
  </si>
  <si>
    <t>Load Testing</t>
  </si>
  <si>
    <t>Soak Testing</t>
  </si>
  <si>
    <t>Other Administrative Work</t>
  </si>
  <si>
    <t>Test Plan Creation</t>
  </si>
  <si>
    <t>Idle Time</t>
  </si>
  <si>
    <t>Improvement Activity</t>
  </si>
  <si>
    <t xml:space="preserve">Documentation </t>
  </si>
  <si>
    <t>Reporting</t>
  </si>
  <si>
    <t>Public Holiday</t>
  </si>
  <si>
    <t>Comp-Off</t>
  </si>
  <si>
    <t>Script Maintenance</t>
  </si>
  <si>
    <t>** Minutes Calculation</t>
  </si>
  <si>
    <t>Mins</t>
  </si>
  <si>
    <t>10 mins</t>
  </si>
  <si>
    <t>15 mins</t>
  </si>
  <si>
    <t>20 mins</t>
  </si>
  <si>
    <t>25 mins</t>
  </si>
  <si>
    <t>30 mins</t>
  </si>
  <si>
    <t>40 mins</t>
  </si>
  <si>
    <t>45 mins</t>
  </si>
  <si>
    <t>Work Allocation</t>
  </si>
  <si>
    <t>Followup</t>
  </si>
  <si>
    <t>System Integration Testing</t>
  </si>
  <si>
    <t>Shirish Kini</t>
  </si>
  <si>
    <t>Gunjan Solanki</t>
  </si>
  <si>
    <t>Smitha Prabhu</t>
  </si>
  <si>
    <t>Ashish Kulkarni</t>
  </si>
  <si>
    <t>Satyadeo Kumar</t>
  </si>
  <si>
    <t>Dipali Wakchaure</t>
  </si>
  <si>
    <t>Aiswarya Agrawal</t>
  </si>
  <si>
    <t>Prasad Masurkar</t>
  </si>
  <si>
    <t>Bharti Tripathi</t>
  </si>
  <si>
    <t>Prachi Joshi</t>
  </si>
  <si>
    <t>Amrut Davane</t>
  </si>
  <si>
    <t>Chanda Ahuja</t>
  </si>
  <si>
    <t>Khambhati, Ankit</t>
  </si>
  <si>
    <t>Sreedhar Anneboyena</t>
  </si>
  <si>
    <t>Abhilash Battu</t>
  </si>
  <si>
    <t>Arushi Singh</t>
  </si>
  <si>
    <t>Shraddha Padelkar</t>
  </si>
  <si>
    <t>Abhinav Kashyap</t>
  </si>
  <si>
    <t>Akshay Kanadia</t>
  </si>
  <si>
    <t>Devino Menezes</t>
  </si>
  <si>
    <t>Rohit Pal</t>
  </si>
  <si>
    <t>Rehman Khan</t>
  </si>
  <si>
    <t>Ravindra Gundale</t>
  </si>
  <si>
    <t>Sajesh Advilkar</t>
  </si>
  <si>
    <t>Rakesh Kochare</t>
  </si>
  <si>
    <t>Kirubanand K</t>
  </si>
  <si>
    <t>Rohit Saini</t>
  </si>
  <si>
    <t>Ashwini Singh</t>
  </si>
  <si>
    <t>Sudesh Sherigar</t>
  </si>
  <si>
    <t>Ashish Sisodiya</t>
  </si>
  <si>
    <t>Sachin Shah</t>
  </si>
  <si>
    <t>Shariq Rahman</t>
  </si>
  <si>
    <t>Madhuri Kala</t>
  </si>
  <si>
    <t>Hari Shaw</t>
  </si>
  <si>
    <t>Sanith Shetty</t>
  </si>
  <si>
    <t>Team Members</t>
  </si>
  <si>
    <t>Project</t>
  </si>
  <si>
    <t>B2B</t>
  </si>
  <si>
    <t>BAP</t>
  </si>
  <si>
    <t>POLS</t>
  </si>
  <si>
    <t>Factory</t>
  </si>
  <si>
    <t>Service</t>
  </si>
  <si>
    <t>Performance</t>
  </si>
  <si>
    <t>Automation</t>
  </si>
  <si>
    <t>Name</t>
  </si>
  <si>
    <t>Total Efforts</t>
  </si>
  <si>
    <t>Review - Defect</t>
  </si>
  <si>
    <t>Review - Execution</t>
  </si>
  <si>
    <t>Review - Test Case</t>
  </si>
  <si>
    <t>Standup</t>
  </si>
  <si>
    <t>Meetings-Conference Calls</t>
  </si>
  <si>
    <t>Go Live Testing</t>
  </si>
  <si>
    <t>Skim Test</t>
  </si>
  <si>
    <t>DR Test</t>
  </si>
  <si>
    <t>Client Presentation</t>
  </si>
  <si>
    <t>Interview-Discussion</t>
  </si>
  <si>
    <t>Audit preparation</t>
  </si>
  <si>
    <t>PQL Activities</t>
  </si>
  <si>
    <t>Email / Chat Communication</t>
  </si>
  <si>
    <t>Environment Setup</t>
  </si>
  <si>
    <t>Total</t>
  </si>
  <si>
    <t>Total Team Size</t>
  </si>
  <si>
    <t>Date</t>
  </si>
  <si>
    <t>Number of Internal Review Comments/Observations/ Defects raised</t>
  </si>
  <si>
    <t>Functional</t>
  </si>
  <si>
    <t>GUI Error</t>
  </si>
  <si>
    <t>Data Type</t>
  </si>
  <si>
    <t>Other</t>
  </si>
  <si>
    <t>Comments, if Any</t>
  </si>
  <si>
    <t>Number of Bugs / Defects raised during - Test Execution</t>
  </si>
  <si>
    <t>To move to respective persons table 'CLICK' on the name in the below table</t>
  </si>
  <si>
    <t>Prepared By Date</t>
  </si>
  <si>
    <t>Process/Product</t>
  </si>
  <si>
    <t>Description  of Root Cause</t>
  </si>
  <si>
    <t>Root Cause Category</t>
  </si>
  <si>
    <t>Actions Proposed</t>
  </si>
  <si>
    <t>Action Type</t>
  </si>
  <si>
    <t>Person Responsible</t>
  </si>
  <si>
    <t>Target Date</t>
  </si>
  <si>
    <t>Closed date</t>
  </si>
  <si>
    <t>% improvement due to action item</t>
  </si>
  <si>
    <t>Product</t>
  </si>
  <si>
    <t>High Schedule Variance</t>
  </si>
  <si>
    <t>Code fixes not available for testing</t>
  </si>
  <si>
    <t>Improper Planning</t>
  </si>
  <si>
    <t>Already informed onshore</t>
  </si>
  <si>
    <t>Corrective</t>
  </si>
  <si>
    <t>Project Closed</t>
  </si>
  <si>
    <t>Causal Analysis Report</t>
  </si>
  <si>
    <t>Nirbhay Patil</t>
  </si>
  <si>
    <t>Ankit Khambhati</t>
  </si>
  <si>
    <t>Tasks</t>
  </si>
  <si>
    <t>Stamps and Collectibles</t>
  </si>
  <si>
    <t>Total Sum of Actual efforts of the Module / Team</t>
  </si>
  <si>
    <t>Total Defects Raised</t>
  </si>
  <si>
    <t>Ref No.</t>
  </si>
  <si>
    <t>Milestone</t>
  </si>
  <si>
    <r>
      <t xml:space="preserve">Problem Under Analysis
</t>
    </r>
    <r>
      <rPr>
        <b/>
        <i/>
        <sz val="8"/>
        <rFont val="Arial"/>
        <family val="2"/>
      </rPr>
      <t>(High/Low Variance, Defect Rejection, Productivity etc)</t>
    </r>
  </si>
  <si>
    <r>
      <t xml:space="preserve">Status / Remarks </t>
    </r>
    <r>
      <rPr>
        <b/>
        <i/>
        <sz val="8"/>
        <rFont val="Arial"/>
        <family val="2"/>
      </rPr>
      <t>(Complete/ Ongoing)</t>
    </r>
  </si>
  <si>
    <t>POL Seperation</t>
  </si>
  <si>
    <t>Process</t>
  </si>
  <si>
    <t>High Effort Variance</t>
  </si>
  <si>
    <t>Environment not stable</t>
  </si>
  <si>
    <t>Environmental</t>
  </si>
  <si>
    <t>Inform Onshore</t>
  </si>
  <si>
    <t>Preventative</t>
  </si>
  <si>
    <t>Nikunj Chadha</t>
  </si>
  <si>
    <t>Tariff</t>
  </si>
  <si>
    <t>Final Sum of Actual efforts of the Module / Team</t>
  </si>
  <si>
    <t>Total Project Efforts</t>
  </si>
  <si>
    <t>Total Defects Raised by Project</t>
  </si>
  <si>
    <t>RSR-1234</t>
  </si>
  <si>
    <t>RSR-1235</t>
  </si>
  <si>
    <t>RSR-1223</t>
  </si>
</sst>
</file>

<file path=xl/styles.xml><?xml version="1.0" encoding="utf-8"?>
<styleSheet xmlns="http://schemas.openxmlformats.org/spreadsheetml/2006/main">
  <numFmts count="1">
    <numFmt numFmtId="164" formatCode="[$-409]mmm\-yy;@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u/>
      <sz val="20"/>
      <color theme="10"/>
      <name val="Calibri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2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i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name val="Arial"/>
      <family val="2"/>
    </font>
    <font>
      <b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33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9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Border="1" applyAlignment="1">
      <alignment horizontal="left"/>
    </xf>
    <xf numFmtId="0" fontId="3" fillId="0" borderId="1" xfId="1" applyFill="1" applyBorder="1" applyAlignment="1">
      <alignment horizontal="left" vertical="top"/>
    </xf>
    <xf numFmtId="0" fontId="3" fillId="5" borderId="1" xfId="1" applyFill="1" applyBorder="1" applyAlignment="1">
      <alignment horizontal="left" vertical="top"/>
    </xf>
    <xf numFmtId="0" fontId="3" fillId="0" borderId="4" xfId="1" applyFill="1" applyBorder="1" applyAlignment="1">
      <alignment horizontal="left" vertical="top"/>
    </xf>
    <xf numFmtId="0" fontId="0" fillId="2" borderId="1" xfId="0" applyFill="1" applyBorder="1"/>
    <xf numFmtId="0" fontId="0" fillId="0" borderId="0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1" fillId="0" borderId="13" xfId="0" applyFont="1" applyBorder="1"/>
    <xf numFmtId="0" fontId="1" fillId="0" borderId="13" xfId="0" applyFon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15" fontId="0" fillId="0" borderId="5" xfId="0" applyNumberFormat="1" applyBorder="1" applyAlignment="1">
      <alignment horizontal="center"/>
    </xf>
    <xf numFmtId="15" fontId="1" fillId="0" borderId="15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1" fillId="0" borderId="12" xfId="0" applyFont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0" borderId="8" xfId="0" applyBorder="1"/>
    <xf numFmtId="15" fontId="0" fillId="0" borderId="1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2" fillId="3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/>
    </xf>
    <xf numFmtId="0" fontId="2" fillId="13" borderId="11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2" fillId="16" borderId="11" xfId="0" applyFont="1" applyFill="1" applyBorder="1" applyAlignment="1">
      <alignment horizontal="center"/>
    </xf>
    <xf numFmtId="0" fontId="2" fillId="17" borderId="11" xfId="0" applyFont="1" applyFill="1" applyBorder="1" applyAlignment="1">
      <alignment horizontal="center"/>
    </xf>
    <xf numFmtId="0" fontId="0" fillId="0" borderId="6" xfId="0" applyBorder="1" applyAlignment="1">
      <alignment vertical="top" wrapText="1"/>
    </xf>
    <xf numFmtId="0" fontId="4" fillId="12" borderId="4" xfId="2" applyFill="1" applyBorder="1" applyAlignment="1" applyProtection="1">
      <alignment horizontal="left" vertical="top"/>
    </xf>
    <xf numFmtId="15" fontId="0" fillId="0" borderId="4" xfId="0" applyNumberForma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15" fontId="0" fillId="0" borderId="1" xfId="0" applyNumberFormat="1" applyBorder="1" applyAlignment="1" applyProtection="1">
      <alignment horizontal="center" vertical="center" wrapText="1"/>
      <protection locked="0"/>
    </xf>
    <xf numFmtId="10" fontId="0" fillId="0" borderId="8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" fillId="11" borderId="4" xfId="0" applyFont="1" applyFill="1" applyBorder="1" applyAlignment="1">
      <alignment horizontal="left" wrapText="1"/>
    </xf>
    <xf numFmtId="0" fontId="0" fillId="19" borderId="11" xfId="0" applyFill="1" applyBorder="1"/>
    <xf numFmtId="0" fontId="1" fillId="11" borderId="4" xfId="0" applyFont="1" applyFill="1" applyBorder="1" applyAlignment="1">
      <alignment horizontal="left"/>
    </xf>
    <xf numFmtId="0" fontId="0" fillId="11" borderId="11" xfId="0" applyFill="1" applyBorder="1" applyAlignment="1">
      <alignment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2" fillId="3" borderId="16" xfId="0" applyFont="1" applyFill="1" applyBorder="1" applyAlignment="1">
      <alignment horizontal="center" vertical="center"/>
    </xf>
    <xf numFmtId="0" fontId="4" fillId="13" borderId="1" xfId="2" applyFill="1" applyBorder="1" applyAlignment="1" applyProtection="1">
      <alignment horizontal="left" vertical="top"/>
    </xf>
    <xf numFmtId="0" fontId="4" fillId="20" borderId="1" xfId="2" applyFill="1" applyBorder="1" applyAlignment="1" applyProtection="1">
      <alignment horizontal="left" vertical="top"/>
    </xf>
    <xf numFmtId="0" fontId="4" fillId="8" borderId="1" xfId="2" applyFill="1" applyBorder="1" applyAlignment="1" applyProtection="1">
      <alignment horizontal="left" vertical="top"/>
    </xf>
    <xf numFmtId="0" fontId="4" fillId="6" borderId="1" xfId="2" applyFill="1" applyBorder="1" applyAlignment="1" applyProtection="1">
      <alignment horizontal="left" vertical="top"/>
    </xf>
    <xf numFmtId="0" fontId="4" fillId="22" borderId="1" xfId="2" applyFill="1" applyBorder="1" applyAlignment="1" applyProtection="1">
      <alignment horizontal="left"/>
    </xf>
    <xf numFmtId="164" fontId="0" fillId="12" borderId="17" xfId="0" applyNumberFormat="1" applyFill="1" applyBorder="1" applyAlignment="1">
      <alignment horizontal="center" vertical="center"/>
    </xf>
    <xf numFmtId="15" fontId="1" fillId="0" borderId="24" xfId="0" applyNumberFormat="1" applyFont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0" fillId="5" borderId="0" xfId="0" applyFill="1"/>
    <xf numFmtId="0" fontId="4" fillId="21" borderId="1" xfId="2" applyFill="1" applyBorder="1" applyAlignment="1" applyProtection="1"/>
    <xf numFmtId="0" fontId="0" fillId="11" borderId="16" xfId="0" applyFill="1" applyBorder="1" applyAlignment="1">
      <alignment vertical="top" wrapText="1"/>
    </xf>
    <xf numFmtId="0" fontId="4" fillId="12" borderId="1" xfId="2" applyFill="1" applyBorder="1" applyAlignment="1" applyProtection="1">
      <alignment horizontal="left" vertical="top"/>
    </xf>
    <xf numFmtId="0" fontId="4" fillId="23" borderId="1" xfId="2" applyFill="1" applyBorder="1" applyAlignment="1" applyProtection="1"/>
    <xf numFmtId="0" fontId="4" fillId="24" borderId="1" xfId="2" applyFill="1" applyBorder="1" applyAlignment="1" applyProtection="1"/>
    <xf numFmtId="0" fontId="4" fillId="25" borderId="1" xfId="2" applyFill="1" applyBorder="1" applyAlignment="1" applyProtection="1"/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 vertical="top"/>
    </xf>
    <xf numFmtId="0" fontId="5" fillId="12" borderId="2" xfId="2" applyFont="1" applyFill="1" applyBorder="1" applyAlignment="1" applyProtection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5" fillId="20" borderId="2" xfId="2" applyFont="1" applyFill="1" applyBorder="1" applyAlignment="1" applyProtection="1">
      <alignment horizontal="center" vertical="center"/>
    </xf>
    <xf numFmtId="0" fontId="5" fillId="4" borderId="2" xfId="2" applyFont="1" applyFill="1" applyBorder="1" applyAlignment="1" applyProtection="1">
      <alignment horizontal="center" vertical="center"/>
    </xf>
    <xf numFmtId="0" fontId="5" fillId="7" borderId="2" xfId="2" applyFont="1" applyFill="1" applyBorder="1" applyAlignment="1" applyProtection="1">
      <alignment horizontal="center" vertical="center"/>
    </xf>
    <xf numFmtId="0" fontId="5" fillId="6" borderId="2" xfId="2" applyFont="1" applyFill="1" applyBorder="1" applyAlignment="1" applyProtection="1">
      <alignment horizontal="center" vertical="center"/>
    </xf>
    <xf numFmtId="0" fontId="5" fillId="8" borderId="2" xfId="2" applyFont="1" applyFill="1" applyBorder="1" applyAlignment="1" applyProtection="1">
      <alignment horizontal="center" vertical="center"/>
    </xf>
    <xf numFmtId="0" fontId="5" fillId="9" borderId="2" xfId="2" applyFont="1" applyFill="1" applyBorder="1" applyAlignment="1" applyProtection="1">
      <alignment horizontal="center" vertical="center"/>
    </xf>
    <xf numFmtId="0" fontId="5" fillId="10" borderId="2" xfId="2" applyFont="1" applyFill="1" applyBorder="1" applyAlignment="1" applyProtection="1">
      <alignment horizontal="center" vertical="center"/>
    </xf>
    <xf numFmtId="0" fontId="7" fillId="28" borderId="1" xfId="0" applyFont="1" applyFill="1" applyBorder="1"/>
    <xf numFmtId="0" fontId="0" fillId="0" borderId="28" xfId="0" applyBorder="1" applyAlignment="1" applyProtection="1">
      <alignment horizontal="center" vertical="center" wrapText="1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18" borderId="1" xfId="0" applyFill="1" applyBorder="1" applyAlignment="1" applyProtection="1">
      <alignment horizontal="center" vertical="center" wrapText="1"/>
      <protection locked="0"/>
    </xf>
    <xf numFmtId="15" fontId="0" fillId="18" borderId="1" xfId="0" applyNumberFormat="1" applyFill="1" applyBorder="1" applyAlignment="1" applyProtection="1">
      <alignment horizontal="center" vertical="center" wrapText="1"/>
      <protection locked="0"/>
    </xf>
    <xf numFmtId="10" fontId="0" fillId="18" borderId="8" xfId="0" applyNumberFormat="1" applyFill="1" applyBorder="1" applyAlignment="1" applyProtection="1">
      <alignment horizontal="center" vertical="center" wrapText="1"/>
      <protection locked="0"/>
    </xf>
    <xf numFmtId="0" fontId="0" fillId="18" borderId="23" xfId="0" applyFill="1" applyBorder="1" applyAlignment="1" applyProtection="1">
      <alignment horizontal="center" vertical="center" wrapText="1"/>
      <protection locked="0"/>
    </xf>
    <xf numFmtId="15" fontId="0" fillId="18" borderId="1" xfId="0" applyNumberFormat="1" applyFill="1" applyBorder="1" applyAlignment="1" applyProtection="1">
      <alignment horizontal="center" vertical="center"/>
      <protection locked="0"/>
    </xf>
    <xf numFmtId="10" fontId="0" fillId="18" borderId="8" xfId="0" applyNumberFormat="1" applyFill="1" applyBorder="1" applyAlignment="1" applyProtection="1">
      <alignment horizontal="center" vertical="center"/>
      <protection locked="0"/>
    </xf>
    <xf numFmtId="0" fontId="0" fillId="18" borderId="23" xfId="0" applyFill="1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 wrapText="1"/>
      <protection locked="0"/>
    </xf>
    <xf numFmtId="0" fontId="0" fillId="18" borderId="30" xfId="0" applyFill="1" applyBorder="1" applyAlignment="1" applyProtection="1">
      <alignment horizontal="center" vertical="center"/>
      <protection locked="0"/>
    </xf>
    <xf numFmtId="15" fontId="0" fillId="18" borderId="30" xfId="0" applyNumberFormat="1" applyFill="1" applyBorder="1" applyAlignment="1" applyProtection="1">
      <alignment horizontal="center" vertical="center"/>
      <protection locked="0"/>
    </xf>
    <xf numFmtId="15" fontId="0" fillId="0" borderId="26" xfId="0" applyNumberFormat="1" applyBorder="1" applyAlignment="1" applyProtection="1">
      <alignment horizontal="center" vertical="center" wrapText="1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10" fontId="0" fillId="18" borderId="31" xfId="0" applyNumberFormat="1" applyFill="1" applyBorder="1" applyAlignment="1" applyProtection="1">
      <alignment horizontal="center" vertical="center"/>
      <protection locked="0"/>
    </xf>
    <xf numFmtId="0" fontId="0" fillId="18" borderId="32" xfId="0" applyFill="1" applyBorder="1" applyAlignment="1" applyProtection="1">
      <alignment horizontal="center" vertical="center"/>
      <protection locked="0"/>
    </xf>
    <xf numFmtId="0" fontId="0" fillId="31" borderId="0" xfId="0" applyFill="1" applyProtection="1">
      <protection locked="0"/>
    </xf>
    <xf numFmtId="0" fontId="0" fillId="0" borderId="0" xfId="0" applyProtection="1">
      <protection locked="0"/>
    </xf>
    <xf numFmtId="15" fontId="8" fillId="0" borderId="4" xfId="0" applyNumberFormat="1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top" wrapText="1"/>
      <protection locked="0"/>
    </xf>
    <xf numFmtId="0" fontId="15" fillId="0" borderId="1" xfId="0" applyFont="1" applyBorder="1" applyAlignment="1" applyProtection="1">
      <alignment horizontal="left" vertical="top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10" fontId="8" fillId="0" borderId="9" xfId="0" applyNumberFormat="1" applyFont="1" applyBorder="1" applyAlignment="1" applyProtection="1">
      <alignment horizontal="center" vertical="center" wrapText="1"/>
      <protection locked="0"/>
    </xf>
    <xf numFmtId="0" fontId="8" fillId="0" borderId="27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15" fontId="8" fillId="0" borderId="1" xfId="0" applyNumberFormat="1" applyFont="1" applyBorder="1" applyAlignment="1" applyProtection="1">
      <alignment horizontal="center" vertical="center" wrapText="1"/>
      <protection locked="0"/>
    </xf>
    <xf numFmtId="10" fontId="8" fillId="0" borderId="8" xfId="0" applyNumberFormat="1" applyFont="1" applyBorder="1" applyAlignment="1" applyProtection="1">
      <alignment horizontal="center" vertical="center" wrapText="1"/>
      <protection locked="0"/>
    </xf>
    <xf numFmtId="0" fontId="15" fillId="0" borderId="23" xfId="0" applyFont="1" applyBorder="1" applyAlignment="1" applyProtection="1">
      <alignment horizontal="center" vertical="center" wrapText="1"/>
      <protection locked="0"/>
    </xf>
    <xf numFmtId="0" fontId="15" fillId="0" borderId="4" xfId="0" applyFont="1" applyBorder="1" applyAlignment="1" applyProtection="1">
      <alignment horizontal="left" vertical="top" wrapText="1"/>
      <protection locked="0"/>
    </xf>
    <xf numFmtId="0" fontId="8" fillId="0" borderId="28" xfId="0" applyFont="1" applyBorder="1" applyAlignment="1" applyProtection="1">
      <alignment horizontal="center" vertical="center" wrapText="1"/>
      <protection locked="0"/>
    </xf>
    <xf numFmtId="0" fontId="0" fillId="13" borderId="1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6" borderId="1" xfId="0" applyFont="1" applyFill="1" applyBorder="1" applyAlignment="1">
      <alignment horizontal="center"/>
    </xf>
    <xf numFmtId="0" fontId="0" fillId="17" borderId="1" xfId="0" applyFont="1" applyFill="1" applyBorder="1" applyAlignment="1">
      <alignment horizontal="center"/>
    </xf>
    <xf numFmtId="0" fontId="11" fillId="30" borderId="1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/>
    <xf numFmtId="0" fontId="16" fillId="0" borderId="1" xfId="0" applyFont="1" applyBorder="1" applyAlignment="1">
      <alignment horizontal="center"/>
    </xf>
    <xf numFmtId="0" fontId="16" fillId="0" borderId="18" xfId="0" applyFont="1" applyFill="1" applyBorder="1"/>
    <xf numFmtId="0" fontId="16" fillId="0" borderId="11" xfId="0" applyFont="1" applyFill="1" applyBorder="1" applyAlignment="1">
      <alignment horizontal="center"/>
    </xf>
    <xf numFmtId="0" fontId="0" fillId="0" borderId="28" xfId="0" applyBorder="1"/>
    <xf numFmtId="0" fontId="16" fillId="0" borderId="23" xfId="0" applyFont="1" applyBorder="1" applyAlignment="1">
      <alignment horizontal="center"/>
    </xf>
    <xf numFmtId="0" fontId="0" fillId="0" borderId="28" xfId="0" applyFill="1" applyBorder="1"/>
    <xf numFmtId="0" fontId="0" fillId="0" borderId="29" xfId="0" applyFill="1" applyBorder="1"/>
    <xf numFmtId="0" fontId="16" fillId="0" borderId="32" xfId="0" applyFont="1" applyBorder="1" applyAlignment="1">
      <alignment horizontal="center"/>
    </xf>
    <xf numFmtId="0" fontId="0" fillId="0" borderId="36" xfId="0" applyBorder="1"/>
    <xf numFmtId="0" fontId="16" fillId="0" borderId="27" xfId="0" applyFont="1" applyBorder="1" applyAlignment="1">
      <alignment horizontal="center"/>
    </xf>
    <xf numFmtId="0" fontId="0" fillId="2" borderId="1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center" vertical="top"/>
    </xf>
    <xf numFmtId="0" fontId="7" fillId="32" borderId="1" xfId="0" applyFont="1" applyFill="1" applyBorder="1"/>
    <xf numFmtId="0" fontId="0" fillId="23" borderId="18" xfId="0" applyFill="1" applyBorder="1" applyAlignment="1">
      <alignment horizontal="center"/>
    </xf>
    <xf numFmtId="0" fontId="0" fillId="23" borderId="25" xfId="0" applyFill="1" applyBorder="1" applyAlignment="1">
      <alignment horizontal="center"/>
    </xf>
    <xf numFmtId="0" fontId="0" fillId="23" borderId="19" xfId="0" applyFill="1" applyBorder="1" applyAlignment="1">
      <alignment horizontal="center"/>
    </xf>
    <xf numFmtId="0" fontId="4" fillId="20" borderId="1" xfId="2" applyFill="1" applyBorder="1" applyAlignment="1" applyProtection="1">
      <alignment horizontal="center" vertical="center"/>
    </xf>
    <xf numFmtId="0" fontId="4" fillId="20" borderId="2" xfId="2" applyFill="1" applyBorder="1" applyAlignment="1" applyProtection="1">
      <alignment horizontal="center" vertical="center"/>
    </xf>
    <xf numFmtId="0" fontId="4" fillId="12" borderId="1" xfId="2" applyFill="1" applyBorder="1" applyAlignment="1" applyProtection="1">
      <alignment horizontal="center" vertical="center"/>
    </xf>
    <xf numFmtId="0" fontId="4" fillId="4" borderId="2" xfId="2" applyFill="1" applyBorder="1" applyAlignment="1" applyProtection="1">
      <alignment horizontal="center" vertical="center"/>
    </xf>
    <xf numFmtId="0" fontId="4" fillId="4" borderId="3" xfId="2" applyFill="1" applyBorder="1" applyAlignment="1" applyProtection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4" fillId="10" borderId="1" xfId="2" applyFill="1" applyBorder="1" applyAlignment="1" applyProtection="1">
      <alignment horizontal="center" vertical="center"/>
    </xf>
    <xf numFmtId="0" fontId="4" fillId="7" borderId="1" xfId="2" applyFill="1" applyBorder="1" applyAlignment="1" applyProtection="1">
      <alignment horizontal="center" vertical="center"/>
    </xf>
    <xf numFmtId="0" fontId="4" fillId="8" borderId="1" xfId="2" applyFill="1" applyBorder="1" applyAlignment="1" applyProtection="1">
      <alignment horizontal="center" vertical="center"/>
    </xf>
    <xf numFmtId="0" fontId="4" fillId="6" borderId="1" xfId="2" applyFill="1" applyBorder="1" applyAlignment="1" applyProtection="1">
      <alignment horizontal="center" vertical="center"/>
    </xf>
    <xf numFmtId="0" fontId="0" fillId="23" borderId="18" xfId="0" applyFill="1" applyBorder="1" applyAlignment="1">
      <alignment horizontal="center"/>
    </xf>
    <xf numFmtId="0" fontId="0" fillId="23" borderId="25" xfId="0" applyFill="1" applyBorder="1" applyAlignment="1">
      <alignment horizontal="center"/>
    </xf>
    <xf numFmtId="0" fontId="0" fillId="23" borderId="19" xfId="0" applyFill="1" applyBorder="1" applyAlignment="1">
      <alignment horizontal="center"/>
    </xf>
    <xf numFmtId="0" fontId="0" fillId="22" borderId="2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0" fontId="3" fillId="6" borderId="2" xfId="1" applyFill="1" applyBorder="1" applyAlignment="1">
      <alignment horizontal="center" vertical="center"/>
    </xf>
    <xf numFmtId="0" fontId="3" fillId="6" borderId="3" xfId="1" applyFill="1" applyBorder="1" applyAlignment="1">
      <alignment horizontal="center" vertical="center"/>
    </xf>
    <xf numFmtId="0" fontId="3" fillId="6" borderId="4" xfId="1" applyFill="1" applyBorder="1" applyAlignment="1">
      <alignment horizontal="center" vertical="center"/>
    </xf>
    <xf numFmtId="0" fontId="3" fillId="8" borderId="2" xfId="1" applyFill="1" applyBorder="1" applyAlignment="1">
      <alignment horizontal="center" vertical="center"/>
    </xf>
    <xf numFmtId="0" fontId="3" fillId="8" borderId="3" xfId="1" applyFill="1" applyBorder="1" applyAlignment="1">
      <alignment horizontal="center" vertical="center"/>
    </xf>
    <xf numFmtId="0" fontId="3" fillId="8" borderId="4" xfId="1" applyFill="1" applyBorder="1" applyAlignment="1">
      <alignment horizontal="center" vertical="center"/>
    </xf>
    <xf numFmtId="0" fontId="2" fillId="15" borderId="20" xfId="0" applyFont="1" applyFill="1" applyBorder="1" applyAlignment="1">
      <alignment horizontal="center" vertical="top" wrapText="1"/>
    </xf>
    <xf numFmtId="0" fontId="2" fillId="15" borderId="21" xfId="0" applyFont="1" applyFill="1" applyBorder="1" applyAlignment="1">
      <alignment horizontal="center" vertical="top" wrapText="1"/>
    </xf>
    <xf numFmtId="0" fontId="2" fillId="15" borderId="22" xfId="0" applyFont="1" applyFill="1" applyBorder="1" applyAlignment="1">
      <alignment horizontal="center" vertical="top" wrapText="1"/>
    </xf>
    <xf numFmtId="0" fontId="2" fillId="14" borderId="20" xfId="0" applyFont="1" applyFill="1" applyBorder="1" applyAlignment="1">
      <alignment horizontal="center" vertical="top" wrapText="1"/>
    </xf>
    <xf numFmtId="0" fontId="2" fillId="14" borderId="21" xfId="0" applyFont="1" applyFill="1" applyBorder="1" applyAlignment="1">
      <alignment horizontal="center" vertical="top" wrapText="1"/>
    </xf>
    <xf numFmtId="0" fontId="2" fillId="14" borderId="22" xfId="0" applyFont="1" applyFill="1" applyBorder="1" applyAlignment="1">
      <alignment horizontal="center" vertical="top" wrapText="1"/>
    </xf>
    <xf numFmtId="164" fontId="0" fillId="12" borderId="17" xfId="0" applyNumberFormat="1" applyFill="1" applyBorder="1" applyAlignment="1">
      <alignment horizontal="center" vertical="center"/>
    </xf>
    <xf numFmtId="0" fontId="3" fillId="13" borderId="2" xfId="1" applyFill="1" applyBorder="1" applyAlignment="1">
      <alignment horizontal="center" vertical="center"/>
    </xf>
    <xf numFmtId="0" fontId="3" fillId="13" borderId="3" xfId="1" applyFill="1" applyBorder="1" applyAlignment="1">
      <alignment horizontal="center" vertical="center"/>
    </xf>
    <xf numFmtId="0" fontId="3" fillId="13" borderId="4" xfId="1" applyFill="1" applyBorder="1" applyAlignment="1">
      <alignment horizontal="center" vertical="center"/>
    </xf>
    <xf numFmtId="0" fontId="3" fillId="20" borderId="1" xfId="1" applyFill="1" applyBorder="1" applyAlignment="1">
      <alignment horizontal="center" vertical="center"/>
    </xf>
    <xf numFmtId="0" fontId="1" fillId="19" borderId="18" xfId="0" applyFont="1" applyFill="1" applyBorder="1" applyAlignment="1">
      <alignment horizontal="center" vertical="top"/>
    </xf>
    <xf numFmtId="0" fontId="1" fillId="19" borderId="19" xfId="0" applyFont="1" applyFill="1" applyBorder="1" applyAlignment="1">
      <alignment horizontal="center" vertical="top"/>
    </xf>
    <xf numFmtId="0" fontId="3" fillId="26" borderId="2" xfId="1" applyFill="1" applyBorder="1" applyAlignment="1">
      <alignment horizontal="center" vertical="center"/>
    </xf>
    <xf numFmtId="0" fontId="3" fillId="26" borderId="3" xfId="1" applyFill="1" applyBorder="1" applyAlignment="1">
      <alignment horizontal="center" vertical="center"/>
    </xf>
    <xf numFmtId="0" fontId="3" fillId="26" borderId="4" xfId="1" applyFill="1" applyBorder="1" applyAlignment="1">
      <alignment horizontal="center" vertical="center"/>
    </xf>
    <xf numFmtId="0" fontId="3" fillId="21" borderId="2" xfId="1" applyFill="1" applyBorder="1" applyAlignment="1">
      <alignment horizontal="center" vertical="center"/>
    </xf>
    <xf numFmtId="0" fontId="3" fillId="21" borderId="3" xfId="1" applyFill="1" applyBorder="1" applyAlignment="1">
      <alignment horizontal="center" vertical="center"/>
    </xf>
    <xf numFmtId="0" fontId="3" fillId="21" borderId="4" xfId="1" applyFill="1" applyBorder="1" applyAlignment="1">
      <alignment horizontal="center" vertical="center"/>
    </xf>
    <xf numFmtId="0" fontId="3" fillId="27" borderId="2" xfId="1" applyFill="1" applyBorder="1" applyAlignment="1">
      <alignment horizontal="center" vertical="center"/>
    </xf>
    <xf numFmtId="0" fontId="3" fillId="27" borderId="3" xfId="1" applyFill="1" applyBorder="1" applyAlignment="1">
      <alignment horizontal="center" vertical="center"/>
    </xf>
    <xf numFmtId="0" fontId="3" fillId="27" borderId="4" xfId="1" applyFill="1" applyBorder="1" applyAlignment="1">
      <alignment horizontal="center" vertical="center"/>
    </xf>
    <xf numFmtId="0" fontId="9" fillId="29" borderId="33" xfId="0" applyFont="1" applyFill="1" applyBorder="1" applyAlignment="1" applyProtection="1">
      <alignment horizontal="center" vertical="center" wrapText="1"/>
      <protection locked="0"/>
    </xf>
    <xf numFmtId="0" fontId="10" fillId="29" borderId="34" xfId="0" applyFont="1" applyFill="1" applyBorder="1" applyAlignment="1" applyProtection="1">
      <alignment horizontal="center" vertical="center"/>
      <protection locked="0"/>
    </xf>
    <xf numFmtId="0" fontId="10" fillId="29" borderId="35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top" wrapText="1"/>
    </xf>
    <xf numFmtId="0" fontId="0" fillId="14" borderId="1" xfId="0" applyFont="1" applyFill="1" applyBorder="1" applyAlignment="1">
      <alignment horizontal="center" vertical="top" wrapText="1"/>
    </xf>
    <xf numFmtId="0" fontId="6" fillId="32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38"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  <dxf>
      <fill>
        <patternFill>
          <bgColor theme="3" tint="0.59996337778862885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800080"/>
      <color rgb="FF0000FF"/>
      <color rgb="FFFF3300"/>
      <color rgb="FFB2B2B2"/>
      <color rgb="FFFF00FF"/>
      <color rgb="FFCC0000"/>
      <color rgb="FF00FFFF"/>
      <color rgb="FFFF66FF"/>
      <color rgb="FF00FF00"/>
      <color rgb="FF99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2B!A1"/><Relationship Id="rId2" Type="http://schemas.openxmlformats.org/officeDocument/2006/relationships/hyperlink" Target="#B2B!A1"/><Relationship Id="rId1" Type="http://schemas.openxmlformats.org/officeDocument/2006/relationships/hyperlink" Target="#B2B!A1"/><Relationship Id="rId6" Type="http://schemas.openxmlformats.org/officeDocument/2006/relationships/hyperlink" Target="#B2B!A1"/><Relationship Id="rId5" Type="http://schemas.openxmlformats.org/officeDocument/2006/relationships/hyperlink" Target="#B2B!A1"/><Relationship Id="rId4" Type="http://schemas.openxmlformats.org/officeDocument/2006/relationships/hyperlink" Target="#B2B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ampsCollectibles!A1"/><Relationship Id="rId7" Type="http://schemas.openxmlformats.org/officeDocument/2006/relationships/hyperlink" Target="#StampsCollectibles!A1"/><Relationship Id="rId2" Type="http://schemas.openxmlformats.org/officeDocument/2006/relationships/hyperlink" Target="#StampsCollectibles!A1"/><Relationship Id="rId1" Type="http://schemas.openxmlformats.org/officeDocument/2006/relationships/hyperlink" Target="#StampsCollectibles!A1"/><Relationship Id="rId6" Type="http://schemas.openxmlformats.org/officeDocument/2006/relationships/hyperlink" Target="#StampsCollectibles!A1"/><Relationship Id="rId5" Type="http://schemas.openxmlformats.org/officeDocument/2006/relationships/hyperlink" Target="#StampsCollectibles!A1"/><Relationship Id="rId4" Type="http://schemas.openxmlformats.org/officeDocument/2006/relationships/hyperlink" Target="#StampsCollectibl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Factory!A1"/><Relationship Id="rId3" Type="http://schemas.openxmlformats.org/officeDocument/2006/relationships/hyperlink" Target="#Factory!A1"/><Relationship Id="rId7" Type="http://schemas.openxmlformats.org/officeDocument/2006/relationships/hyperlink" Target="#Factory!A1"/><Relationship Id="rId2" Type="http://schemas.openxmlformats.org/officeDocument/2006/relationships/hyperlink" Target="#Factory!A1"/><Relationship Id="rId1" Type="http://schemas.openxmlformats.org/officeDocument/2006/relationships/hyperlink" Target="#Factory!A1"/><Relationship Id="rId6" Type="http://schemas.openxmlformats.org/officeDocument/2006/relationships/hyperlink" Target="#Factory!A1"/><Relationship Id="rId5" Type="http://schemas.openxmlformats.org/officeDocument/2006/relationships/hyperlink" Target="#Factory!A1"/><Relationship Id="rId4" Type="http://schemas.openxmlformats.org/officeDocument/2006/relationships/hyperlink" Target="#Factory!A1"/><Relationship Id="rId9" Type="http://schemas.openxmlformats.org/officeDocument/2006/relationships/hyperlink" Target="#Facto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rvice!A1"/><Relationship Id="rId2" Type="http://schemas.openxmlformats.org/officeDocument/2006/relationships/hyperlink" Target="#Service!A1"/><Relationship Id="rId1" Type="http://schemas.openxmlformats.org/officeDocument/2006/relationships/hyperlink" Target="#Servic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POLS!A1"/><Relationship Id="rId1" Type="http://schemas.openxmlformats.org/officeDocument/2006/relationships/hyperlink" Target="#POL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erformance!A1"/><Relationship Id="rId2" Type="http://schemas.openxmlformats.org/officeDocument/2006/relationships/hyperlink" Target="#Performance!A1"/><Relationship Id="rId1" Type="http://schemas.openxmlformats.org/officeDocument/2006/relationships/hyperlink" Target="#Performanc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tomation!A1"/><Relationship Id="rId1" Type="http://schemas.openxmlformats.org/officeDocument/2006/relationships/hyperlink" Target="#Automation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BAP!A1"/><Relationship Id="rId2" Type="http://schemas.openxmlformats.org/officeDocument/2006/relationships/hyperlink" Target="#BAP!A1"/><Relationship Id="rId1" Type="http://schemas.openxmlformats.org/officeDocument/2006/relationships/hyperlink" Target="#BAP!A1"/><Relationship Id="rId4" Type="http://schemas.openxmlformats.org/officeDocument/2006/relationships/hyperlink" Target="#BAP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46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3675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84</xdr:row>
      <xdr:rowOff>0</xdr:rowOff>
    </xdr:from>
    <xdr:ext cx="926855" cy="603826"/>
    <xdr:sp macro="" textlink="">
      <xdr:nvSpPr>
        <xdr:cNvPr id="4" name="Up Arrow 3">
          <a:hlinkClick xmlns:r="http://schemas.openxmlformats.org/officeDocument/2006/relationships" r:id="rId2"/>
        </xdr:cNvPr>
        <xdr:cNvSpPr/>
      </xdr:nvSpPr>
      <xdr:spPr>
        <a:xfrm flipH="1">
          <a:off x="0" y="1827741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121</xdr:row>
      <xdr:rowOff>158751</xdr:rowOff>
    </xdr:from>
    <xdr:ext cx="926855" cy="603826"/>
    <xdr:sp macro="" textlink="">
      <xdr:nvSpPr>
        <xdr:cNvPr id="5" name="Up Arrow 4">
          <a:hlinkClick xmlns:r="http://schemas.openxmlformats.org/officeDocument/2006/relationships" r:id="rId3"/>
        </xdr:cNvPr>
        <xdr:cNvSpPr/>
      </xdr:nvSpPr>
      <xdr:spPr>
        <a:xfrm flipH="1">
          <a:off x="0" y="2554816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158</xdr:row>
      <xdr:rowOff>158757</xdr:rowOff>
    </xdr:from>
    <xdr:ext cx="926855" cy="603826"/>
    <xdr:sp macro="" textlink="">
      <xdr:nvSpPr>
        <xdr:cNvPr id="6" name="Up Arrow 5">
          <a:hlinkClick xmlns:r="http://schemas.openxmlformats.org/officeDocument/2006/relationships" r:id="rId4"/>
        </xdr:cNvPr>
        <xdr:cNvSpPr/>
      </xdr:nvSpPr>
      <xdr:spPr>
        <a:xfrm flipH="1">
          <a:off x="0" y="32660174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195</xdr:row>
      <xdr:rowOff>158757</xdr:rowOff>
    </xdr:from>
    <xdr:ext cx="926855" cy="603826"/>
    <xdr:sp macro="" textlink="">
      <xdr:nvSpPr>
        <xdr:cNvPr id="7" name="Up Arrow 6">
          <a:hlinkClick xmlns:r="http://schemas.openxmlformats.org/officeDocument/2006/relationships" r:id="rId5"/>
        </xdr:cNvPr>
        <xdr:cNvSpPr/>
      </xdr:nvSpPr>
      <xdr:spPr>
        <a:xfrm flipH="1">
          <a:off x="0" y="39391174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235</xdr:row>
      <xdr:rowOff>0</xdr:rowOff>
    </xdr:from>
    <xdr:ext cx="926855" cy="603826"/>
    <xdr:sp macro="" textlink="">
      <xdr:nvSpPr>
        <xdr:cNvPr id="8" name="Up Arrow 7">
          <a:hlinkClick xmlns:r="http://schemas.openxmlformats.org/officeDocument/2006/relationships" r:id="rId6"/>
        </xdr:cNvPr>
        <xdr:cNvSpPr/>
      </xdr:nvSpPr>
      <xdr:spPr>
        <a:xfrm flipH="1">
          <a:off x="0" y="4691591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47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85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122</xdr:row>
      <xdr:rowOff>158751</xdr:rowOff>
    </xdr:from>
    <xdr:ext cx="926855" cy="603826"/>
    <xdr:sp macro="" textlink="">
      <xdr:nvSpPr>
        <xdr:cNvPr id="4" name="Up Arrow 3">
          <a:hlinkClick xmlns:r="http://schemas.openxmlformats.org/officeDocument/2006/relationships" r:id="rId3"/>
        </xdr:cNvPr>
        <xdr:cNvSpPr/>
      </xdr:nvSpPr>
      <xdr:spPr>
        <a:xfrm flipH="1">
          <a:off x="0" y="25533351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159</xdr:row>
      <xdr:rowOff>158757</xdr:rowOff>
    </xdr:from>
    <xdr:ext cx="926855" cy="603826"/>
    <xdr:sp macro="" textlink="">
      <xdr:nvSpPr>
        <xdr:cNvPr id="5" name="Up Arrow 4">
          <a:hlinkClick xmlns:r="http://schemas.openxmlformats.org/officeDocument/2006/relationships" r:id="rId4"/>
        </xdr:cNvPr>
        <xdr:cNvSpPr/>
      </xdr:nvSpPr>
      <xdr:spPr>
        <a:xfrm flipH="1">
          <a:off x="0" y="3263900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196</xdr:row>
      <xdr:rowOff>158757</xdr:rowOff>
    </xdr:from>
    <xdr:ext cx="926855" cy="603826"/>
    <xdr:sp macro="" textlink="">
      <xdr:nvSpPr>
        <xdr:cNvPr id="6" name="Up Arrow 5">
          <a:hlinkClick xmlns:r="http://schemas.openxmlformats.org/officeDocument/2006/relationships" r:id="rId5"/>
        </xdr:cNvPr>
        <xdr:cNvSpPr/>
      </xdr:nvSpPr>
      <xdr:spPr>
        <a:xfrm flipH="1">
          <a:off x="0" y="3974465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234</xdr:row>
      <xdr:rowOff>116425</xdr:rowOff>
    </xdr:from>
    <xdr:ext cx="926855" cy="603826"/>
    <xdr:sp macro="" textlink="">
      <xdr:nvSpPr>
        <xdr:cNvPr id="7" name="Up Arrow 6">
          <a:hlinkClick xmlns:r="http://schemas.openxmlformats.org/officeDocument/2006/relationships" r:id="rId6"/>
        </xdr:cNvPr>
        <xdr:cNvSpPr/>
      </xdr:nvSpPr>
      <xdr:spPr>
        <a:xfrm flipH="1">
          <a:off x="0" y="47032342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272</xdr:row>
      <xdr:rowOff>0</xdr:rowOff>
    </xdr:from>
    <xdr:ext cx="926855" cy="603826"/>
    <xdr:sp macro="" textlink="">
      <xdr:nvSpPr>
        <xdr:cNvPr id="8" name="Up Arrow 7">
          <a:hlinkClick xmlns:r="http://schemas.openxmlformats.org/officeDocument/2006/relationships" r:id="rId7"/>
        </xdr:cNvPr>
        <xdr:cNvSpPr/>
      </xdr:nvSpPr>
      <xdr:spPr>
        <a:xfrm flipH="1">
          <a:off x="0" y="5421841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48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86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123</xdr:row>
      <xdr:rowOff>158751</xdr:rowOff>
    </xdr:from>
    <xdr:ext cx="926855" cy="603826"/>
    <xdr:sp macro="" textlink="">
      <xdr:nvSpPr>
        <xdr:cNvPr id="4" name="Up Arrow 3">
          <a:hlinkClick xmlns:r="http://schemas.openxmlformats.org/officeDocument/2006/relationships" r:id="rId3"/>
        </xdr:cNvPr>
        <xdr:cNvSpPr/>
      </xdr:nvSpPr>
      <xdr:spPr>
        <a:xfrm flipH="1">
          <a:off x="0" y="25533351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160</xdr:row>
      <xdr:rowOff>158757</xdr:rowOff>
    </xdr:from>
    <xdr:ext cx="926855" cy="603826"/>
    <xdr:sp macro="" textlink="">
      <xdr:nvSpPr>
        <xdr:cNvPr id="5" name="Up Arrow 4">
          <a:hlinkClick xmlns:r="http://schemas.openxmlformats.org/officeDocument/2006/relationships" r:id="rId4"/>
        </xdr:cNvPr>
        <xdr:cNvSpPr/>
      </xdr:nvSpPr>
      <xdr:spPr>
        <a:xfrm flipH="1">
          <a:off x="0" y="3263900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197</xdr:row>
      <xdr:rowOff>158757</xdr:rowOff>
    </xdr:from>
    <xdr:ext cx="926855" cy="603826"/>
    <xdr:sp macro="" textlink="">
      <xdr:nvSpPr>
        <xdr:cNvPr id="6" name="Up Arrow 5">
          <a:hlinkClick xmlns:r="http://schemas.openxmlformats.org/officeDocument/2006/relationships" r:id="rId5"/>
        </xdr:cNvPr>
        <xdr:cNvSpPr/>
      </xdr:nvSpPr>
      <xdr:spPr>
        <a:xfrm flipH="1">
          <a:off x="0" y="3974465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235</xdr:row>
      <xdr:rowOff>116425</xdr:rowOff>
    </xdr:from>
    <xdr:ext cx="926855" cy="603826"/>
    <xdr:sp macro="" textlink="">
      <xdr:nvSpPr>
        <xdr:cNvPr id="7" name="Up Arrow 6">
          <a:hlinkClick xmlns:r="http://schemas.openxmlformats.org/officeDocument/2006/relationships" r:id="rId6"/>
        </xdr:cNvPr>
        <xdr:cNvSpPr/>
      </xdr:nvSpPr>
      <xdr:spPr>
        <a:xfrm flipH="1">
          <a:off x="0" y="47032342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273</xdr:row>
      <xdr:rowOff>158751</xdr:rowOff>
    </xdr:from>
    <xdr:ext cx="926855" cy="603826"/>
    <xdr:sp macro="" textlink="">
      <xdr:nvSpPr>
        <xdr:cNvPr id="8" name="Up Arrow 7">
          <a:hlinkClick xmlns:r="http://schemas.openxmlformats.org/officeDocument/2006/relationships" r:id="rId7"/>
        </xdr:cNvPr>
        <xdr:cNvSpPr/>
      </xdr:nvSpPr>
      <xdr:spPr>
        <a:xfrm flipH="1">
          <a:off x="0" y="5437716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312</xdr:row>
      <xdr:rowOff>0</xdr:rowOff>
    </xdr:from>
    <xdr:ext cx="926855" cy="603826"/>
    <xdr:sp macro="" textlink="">
      <xdr:nvSpPr>
        <xdr:cNvPr id="9" name="Up Arrow 8">
          <a:hlinkClick xmlns:r="http://schemas.openxmlformats.org/officeDocument/2006/relationships" r:id="rId8"/>
        </xdr:cNvPr>
        <xdr:cNvSpPr/>
      </xdr:nvSpPr>
      <xdr:spPr>
        <a:xfrm flipH="1">
          <a:off x="0" y="6171141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349</xdr:row>
      <xdr:rowOff>158757</xdr:rowOff>
    </xdr:from>
    <xdr:ext cx="926855" cy="603826"/>
    <xdr:sp macro="" textlink="">
      <xdr:nvSpPr>
        <xdr:cNvPr id="10" name="Up Arrow 9">
          <a:hlinkClick xmlns:r="http://schemas.openxmlformats.org/officeDocument/2006/relationships" r:id="rId9"/>
        </xdr:cNvPr>
        <xdr:cNvSpPr/>
      </xdr:nvSpPr>
      <xdr:spPr>
        <a:xfrm flipH="1">
          <a:off x="0" y="68982174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47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85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21167</xdr:colOff>
      <xdr:row>121</xdr:row>
      <xdr:rowOff>179918</xdr:rowOff>
    </xdr:from>
    <xdr:ext cx="926855" cy="603826"/>
    <xdr:sp macro="" textlink="">
      <xdr:nvSpPr>
        <xdr:cNvPr id="4" name="Up Arrow 3">
          <a:hlinkClick xmlns:r="http://schemas.openxmlformats.org/officeDocument/2006/relationships" r:id="rId3"/>
        </xdr:cNvPr>
        <xdr:cNvSpPr/>
      </xdr:nvSpPr>
      <xdr:spPr>
        <a:xfrm flipH="1">
          <a:off x="21167" y="25378835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47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85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47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85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122</xdr:row>
      <xdr:rowOff>158751</xdr:rowOff>
    </xdr:from>
    <xdr:ext cx="926855" cy="603826"/>
    <xdr:sp macro="" textlink="">
      <xdr:nvSpPr>
        <xdr:cNvPr id="4" name="Up Arrow 3">
          <a:hlinkClick xmlns:r="http://schemas.openxmlformats.org/officeDocument/2006/relationships" r:id="rId3"/>
        </xdr:cNvPr>
        <xdr:cNvSpPr/>
      </xdr:nvSpPr>
      <xdr:spPr>
        <a:xfrm flipH="1">
          <a:off x="0" y="25533351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46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121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36228</xdr:colOff>
      <xdr:row>47</xdr:row>
      <xdr:rowOff>168758</xdr:rowOff>
    </xdr:from>
    <xdr:ext cx="926855" cy="603826"/>
    <xdr:sp macro="" textlink="">
      <xdr:nvSpPr>
        <xdr:cNvPr id="2" name="Up Arrow 1">
          <a:hlinkClick xmlns:r="http://schemas.openxmlformats.org/officeDocument/2006/relationships" r:id="rId1"/>
        </xdr:cNvPr>
        <xdr:cNvSpPr/>
      </xdr:nvSpPr>
      <xdr:spPr>
        <a:xfrm flipH="1">
          <a:off x="36228" y="11141558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85</xdr:row>
      <xdr:rowOff>0</xdr:rowOff>
    </xdr:from>
    <xdr:ext cx="926855" cy="603826"/>
    <xdr:sp macro="" textlink="">
      <xdr:nvSpPr>
        <xdr:cNvPr id="3" name="Up Arrow 2">
          <a:hlinkClick xmlns:r="http://schemas.openxmlformats.org/officeDocument/2006/relationships" r:id="rId2"/>
        </xdr:cNvPr>
        <xdr:cNvSpPr/>
      </xdr:nvSpPr>
      <xdr:spPr>
        <a:xfrm flipH="1">
          <a:off x="0" y="18268950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122</xdr:row>
      <xdr:rowOff>158751</xdr:rowOff>
    </xdr:from>
    <xdr:ext cx="926855" cy="603826"/>
    <xdr:sp macro="" textlink="">
      <xdr:nvSpPr>
        <xdr:cNvPr id="4" name="Up Arrow 3">
          <a:hlinkClick xmlns:r="http://schemas.openxmlformats.org/officeDocument/2006/relationships" r:id="rId3"/>
        </xdr:cNvPr>
        <xdr:cNvSpPr/>
      </xdr:nvSpPr>
      <xdr:spPr>
        <a:xfrm flipH="1">
          <a:off x="0" y="25533351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  <xdr:oneCellAnchor>
    <xdr:from>
      <xdr:col>0</xdr:col>
      <xdr:colOff>0</xdr:colOff>
      <xdr:row>159</xdr:row>
      <xdr:rowOff>158757</xdr:rowOff>
    </xdr:from>
    <xdr:ext cx="926855" cy="603826"/>
    <xdr:sp macro="" textlink="">
      <xdr:nvSpPr>
        <xdr:cNvPr id="5" name="Up Arrow 4">
          <a:hlinkClick xmlns:r="http://schemas.openxmlformats.org/officeDocument/2006/relationships" r:id="rId4"/>
        </xdr:cNvPr>
        <xdr:cNvSpPr/>
      </xdr:nvSpPr>
      <xdr:spPr>
        <a:xfrm flipH="1">
          <a:off x="0" y="32639007"/>
          <a:ext cx="926855" cy="603826"/>
        </a:xfrm>
        <a:prstGeom prst="upArrow">
          <a:avLst/>
        </a:prstGeom>
        <a:ln cmpd="dbl">
          <a:solidFill>
            <a:srgbClr val="00FF00"/>
          </a:solidFill>
        </a:ln>
        <a:scene3d>
          <a:camera prst="orthographicFront"/>
          <a:lightRig rig="flat" dir="tl">
            <a:rot lat="0" lon="0" rev="6600000"/>
          </a:lightRig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11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TOP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800080"/>
  </sheetPr>
  <dimension ref="A1:S48"/>
  <sheetViews>
    <sheetView zoomScale="90" zoomScaleNormal="90" workbookViewId="0">
      <selection activeCell="M9" sqref="M9"/>
    </sheetView>
  </sheetViews>
  <sheetFormatPr defaultRowHeight="15"/>
  <cols>
    <col min="1" max="1" width="22.42578125" bestFit="1" customWidth="1"/>
    <col min="2" max="2" width="19.5703125" bestFit="1" customWidth="1"/>
    <col min="4" max="4" width="12.140625" customWidth="1"/>
    <col min="5" max="5" width="16.85546875" bestFit="1" customWidth="1"/>
    <col min="7" max="7" width="22.42578125" bestFit="1" customWidth="1"/>
    <col min="8" max="8" width="20.5703125" customWidth="1"/>
    <col min="10" max="10" width="14.85546875" bestFit="1" customWidth="1"/>
  </cols>
  <sheetData>
    <row r="1" spans="1:11" ht="15.75" thickBot="1">
      <c r="A1" s="16" t="s">
        <v>83</v>
      </c>
      <c r="B1" s="16" t="s">
        <v>82</v>
      </c>
      <c r="D1" s="16" t="s">
        <v>83</v>
      </c>
      <c r="E1" s="16" t="s">
        <v>82</v>
      </c>
      <c r="G1" s="16" t="s">
        <v>83</v>
      </c>
      <c r="H1" s="16" t="s">
        <v>82</v>
      </c>
    </row>
    <row r="2" spans="1:11" ht="15.75" thickBot="1">
      <c r="A2" s="141" t="s">
        <v>84</v>
      </c>
      <c r="B2" s="15" t="s">
        <v>54</v>
      </c>
      <c r="D2" s="142" t="s">
        <v>87</v>
      </c>
      <c r="E2" s="13" t="s">
        <v>63</v>
      </c>
      <c r="G2" s="148" t="s">
        <v>89</v>
      </c>
      <c r="H2" s="13" t="s">
        <v>73</v>
      </c>
      <c r="J2" s="26" t="s">
        <v>108</v>
      </c>
      <c r="K2" s="27">
        <f>B8+B18+E11+E17+E22+H5+H10+H18</f>
        <v>36</v>
      </c>
    </row>
    <row r="3" spans="1:11">
      <c r="A3" s="141"/>
      <c r="B3" s="13" t="s">
        <v>55</v>
      </c>
      <c r="D3" s="143"/>
      <c r="E3" s="13" t="s">
        <v>64</v>
      </c>
      <c r="G3" s="148"/>
      <c r="H3" s="13" t="s">
        <v>74</v>
      </c>
    </row>
    <row r="4" spans="1:11" ht="15.75" thickBot="1">
      <c r="A4" s="141"/>
      <c r="B4" s="13" t="s">
        <v>56</v>
      </c>
      <c r="D4" s="143"/>
      <c r="E4" s="13" t="s">
        <v>65</v>
      </c>
      <c r="G4" s="148"/>
      <c r="H4" s="13" t="s">
        <v>75</v>
      </c>
    </row>
    <row r="5" spans="1:11" ht="15.75" thickBot="1">
      <c r="A5" s="141"/>
      <c r="B5" s="14" t="s">
        <v>57</v>
      </c>
      <c r="D5" s="143"/>
      <c r="E5" s="13" t="s">
        <v>66</v>
      </c>
      <c r="G5" s="26" t="s">
        <v>107</v>
      </c>
      <c r="H5" s="28">
        <f>COUNTA(H2:H4)</f>
        <v>3</v>
      </c>
    </row>
    <row r="6" spans="1:11">
      <c r="A6" s="141"/>
      <c r="B6" s="13" t="s">
        <v>58</v>
      </c>
      <c r="D6" s="143"/>
      <c r="E6" s="13" t="s">
        <v>67</v>
      </c>
    </row>
    <row r="7" spans="1:11" ht="15.75" thickBot="1">
      <c r="A7" s="141"/>
      <c r="B7" s="4" t="s">
        <v>79</v>
      </c>
      <c r="D7" s="143"/>
      <c r="E7" s="13" t="s">
        <v>68</v>
      </c>
    </row>
    <row r="8" spans="1:11" ht="15.75" thickBot="1">
      <c r="A8" s="26" t="s">
        <v>107</v>
      </c>
      <c r="B8" s="28">
        <f>COUNTA(B2:B7)</f>
        <v>6</v>
      </c>
      <c r="D8" s="143"/>
      <c r="E8" s="13" t="s">
        <v>69</v>
      </c>
      <c r="G8" s="147" t="s">
        <v>90</v>
      </c>
      <c r="H8" s="13" t="s">
        <v>136</v>
      </c>
    </row>
    <row r="9" spans="1:11" ht="15.75" thickBot="1">
      <c r="D9" s="143"/>
      <c r="E9" s="13" t="s">
        <v>76</v>
      </c>
      <c r="G9" s="147"/>
      <c r="H9" s="13" t="s">
        <v>72</v>
      </c>
    </row>
    <row r="10" spans="1:11" ht="15.75" thickBot="1">
      <c r="D10" s="143"/>
      <c r="E10" s="13" t="s">
        <v>77</v>
      </c>
      <c r="G10" s="26" t="s">
        <v>107</v>
      </c>
      <c r="H10" s="28">
        <f>COUNTA(H8:H9)</f>
        <v>2</v>
      </c>
    </row>
    <row r="11" spans="1:11" ht="15.75" thickBot="1">
      <c r="A11" s="139" t="s">
        <v>139</v>
      </c>
      <c r="B11" s="25" t="s">
        <v>52</v>
      </c>
      <c r="D11" s="26" t="s">
        <v>107</v>
      </c>
      <c r="E11" s="28">
        <f>COUNTA(E2:E10)</f>
        <v>9</v>
      </c>
    </row>
    <row r="12" spans="1:11">
      <c r="A12" s="139"/>
      <c r="B12" s="4" t="s">
        <v>47</v>
      </c>
    </row>
    <row r="13" spans="1:11">
      <c r="A13" s="139"/>
      <c r="B13" s="14" t="s">
        <v>53</v>
      </c>
    </row>
    <row r="14" spans="1:11">
      <c r="A14" s="139"/>
      <c r="B14" s="4" t="s">
        <v>51</v>
      </c>
      <c r="D14" s="146" t="s">
        <v>88</v>
      </c>
      <c r="E14" s="13" t="s">
        <v>70</v>
      </c>
      <c r="G14" s="144" t="s">
        <v>85</v>
      </c>
      <c r="H14" s="13" t="s">
        <v>59</v>
      </c>
    </row>
    <row r="15" spans="1:11">
      <c r="A15" s="139"/>
      <c r="B15" s="13" t="s">
        <v>48</v>
      </c>
      <c r="D15" s="146"/>
      <c r="E15" s="13" t="s">
        <v>71</v>
      </c>
      <c r="G15" s="144"/>
      <c r="H15" s="13" t="s">
        <v>60</v>
      </c>
    </row>
    <row r="16" spans="1:11" ht="15.75" thickBot="1">
      <c r="A16" s="139"/>
      <c r="B16" s="4" t="s">
        <v>50</v>
      </c>
      <c r="D16" s="146"/>
      <c r="E16" s="4" t="s">
        <v>78</v>
      </c>
      <c r="G16" s="144"/>
      <c r="H16" s="13" t="s">
        <v>61</v>
      </c>
    </row>
    <row r="17" spans="1:19" ht="15.75" thickBot="1">
      <c r="A17" s="140"/>
      <c r="B17" s="4" t="s">
        <v>49</v>
      </c>
      <c r="D17" s="26" t="s">
        <v>107</v>
      </c>
      <c r="E17" s="28">
        <f>COUNTA(E14:E16)</f>
        <v>3</v>
      </c>
      <c r="G17" s="144"/>
      <c r="H17" s="13" t="s">
        <v>62</v>
      </c>
    </row>
    <row r="18" spans="1:19" ht="15.75" thickBot="1">
      <c r="A18" s="26" t="s">
        <v>107</v>
      </c>
      <c r="B18" s="28">
        <f>COUNTA(B11:B17)</f>
        <v>7</v>
      </c>
      <c r="G18" s="26" t="s">
        <v>107</v>
      </c>
      <c r="H18" s="28">
        <f>COUNTA(H14:H17)</f>
        <v>4</v>
      </c>
    </row>
    <row r="19" spans="1:19">
      <c r="A19" s="17"/>
      <c r="B19" s="17"/>
      <c r="C19" s="17"/>
      <c r="F19" s="17"/>
      <c r="I19" s="17"/>
      <c r="L19" s="17"/>
      <c r="M19" s="17"/>
      <c r="N19" s="17"/>
      <c r="O19" s="17"/>
      <c r="P19" s="17"/>
      <c r="Q19" s="17"/>
      <c r="R19" s="17"/>
      <c r="S19" s="17"/>
    </row>
    <row r="20" spans="1:19">
      <c r="A20" s="17"/>
      <c r="B20" s="17"/>
      <c r="C20" s="17"/>
      <c r="D20" s="145" t="s">
        <v>86</v>
      </c>
      <c r="E20" s="4" t="s">
        <v>80</v>
      </c>
      <c r="F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</row>
    <row r="21" spans="1:19" ht="15.75" thickBot="1">
      <c r="A21" s="17"/>
      <c r="B21" s="17"/>
      <c r="C21" s="17"/>
      <c r="D21" s="145"/>
      <c r="E21" s="14" t="s">
        <v>81</v>
      </c>
      <c r="F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</row>
    <row r="22" spans="1:19" ht="15.75" thickBot="1">
      <c r="A22" s="17"/>
      <c r="B22" s="17"/>
      <c r="C22" s="17"/>
      <c r="D22" s="26" t="s">
        <v>107</v>
      </c>
      <c r="E22" s="28">
        <f>COUNTA(E20:E21)</f>
        <v>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</row>
    <row r="23" spans="1:19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</row>
    <row r="24" spans="1:19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</row>
    <row r="25" spans="1:19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</row>
    <row r="26" spans="1:19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</row>
    <row r="27" spans="1:19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</row>
    <row r="28" spans="1:19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</row>
    <row r="29" spans="1:19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</row>
    <row r="30" spans="1:19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</row>
    <row r="31" spans="1:19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</row>
    <row r="32" spans="1:19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</row>
    <row r="33" spans="1:19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1:19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</row>
    <row r="35" spans="1:19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</row>
    <row r="36" spans="1:19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</row>
    <row r="37" spans="1:19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</row>
    <row r="38" spans="1:19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</row>
    <row r="39" spans="1:19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</row>
    <row r="40" spans="1:19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</row>
    <row r="41" spans="1:19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</row>
    <row r="42" spans="1:19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</row>
    <row r="43" spans="1:19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</row>
    <row r="44" spans="1:19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</row>
    <row r="45" spans="1:19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</row>
    <row r="46" spans="1:19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</row>
    <row r="47" spans="1:19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</row>
    <row r="48" spans="1:19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</row>
  </sheetData>
  <sheetProtection password="CC86" sheet="1" objects="1" scenarios="1"/>
  <mergeCells count="8">
    <mergeCell ref="A11:A17"/>
    <mergeCell ref="A2:A7"/>
    <mergeCell ref="D2:D10"/>
    <mergeCell ref="G14:G17"/>
    <mergeCell ref="D20:D21"/>
    <mergeCell ref="D14:D16"/>
    <mergeCell ref="G8:G9"/>
    <mergeCell ref="G2:G4"/>
  </mergeCells>
  <hyperlinks>
    <hyperlink ref="A11:A17" location="'Stamps and Collectibles'!A1" display="Stamps and Collectibles"/>
    <hyperlink ref="D14:D16" location="Service!A1" display="Service"/>
    <hyperlink ref="G2:G4" location="Performance!A1" display="Performance"/>
    <hyperlink ref="G8:G9" location="Automation!A1" display="Automation"/>
    <hyperlink ref="G14:G17" location="BAP!A1" display="BAP"/>
    <hyperlink ref="D20:D21" location="POLS!A1" display="POLS"/>
    <hyperlink ref="D2:D10" location="Factory!A1" display="Factory"/>
    <hyperlink ref="A2:A7" location="B2B!A1" display="B2B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00FFFF"/>
  </sheetPr>
  <dimension ref="A1:AT232"/>
  <sheetViews>
    <sheetView topLeftCell="A8" zoomScale="90" zoomScaleNormal="90" workbookViewId="0">
      <selection activeCell="B13" sqref="B13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54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56</v>
      </c>
      <c r="C4" s="46" t="s">
        <v>38</v>
      </c>
      <c r="D4" s="46">
        <f>1/4</f>
        <v>0.25</v>
      </c>
      <c r="F4"/>
      <c r="G4"/>
      <c r="H4"/>
      <c r="I4"/>
    </row>
    <row r="5" spans="1:46">
      <c r="A5" s="57" t="s">
        <v>58</v>
      </c>
      <c r="C5" s="46" t="s">
        <v>39</v>
      </c>
      <c r="D5" s="53">
        <f>20/60</f>
        <v>0.33333333333333331</v>
      </c>
      <c r="F5"/>
      <c r="G5"/>
      <c r="H5"/>
      <c r="I5"/>
    </row>
    <row r="6" spans="1:46">
      <c r="A6" s="58" t="s">
        <v>57</v>
      </c>
      <c r="C6" s="46" t="s">
        <v>40</v>
      </c>
      <c r="D6" s="53">
        <f>25/60</f>
        <v>0.41666666666666669</v>
      </c>
      <c r="F6"/>
      <c r="G6"/>
      <c r="H6"/>
      <c r="I6"/>
    </row>
    <row r="7" spans="1:46">
      <c r="A7" s="59" t="s">
        <v>79</v>
      </c>
      <c r="C7" s="46" t="s">
        <v>41</v>
      </c>
      <c r="D7" s="46">
        <f>30/60</f>
        <v>0.5</v>
      </c>
      <c r="F7"/>
      <c r="G7"/>
      <c r="H7"/>
      <c r="I7"/>
    </row>
    <row r="8" spans="1:46">
      <c r="A8" s="60" t="s">
        <v>55</v>
      </c>
      <c r="C8" s="53" t="s">
        <v>42</v>
      </c>
      <c r="D8" s="53">
        <f>40/60</f>
        <v>0.66666666666666663</v>
      </c>
      <c r="F8"/>
      <c r="G8"/>
      <c r="H8"/>
      <c r="I8"/>
    </row>
    <row r="9" spans="1:46"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 s="6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s="65" customFormat="1" ht="15.75" thickBo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ht="34.5" customHeight="1" thickBot="1">
      <c r="E13" s="161" t="s">
        <v>110</v>
      </c>
      <c r="F13" s="162"/>
      <c r="G13" s="162"/>
      <c r="H13" s="163"/>
      <c r="I13" s="164" t="s">
        <v>116</v>
      </c>
      <c r="J13" s="165"/>
      <c r="K13" s="165"/>
      <c r="L13" s="166"/>
    </row>
    <row r="14" spans="1:46" ht="15.75" thickBot="1">
      <c r="A14" s="33" t="s">
        <v>91</v>
      </c>
      <c r="B14" s="33" t="s">
        <v>109</v>
      </c>
      <c r="C14" s="34" t="s">
        <v>11</v>
      </c>
      <c r="D14" s="34" t="s">
        <v>10</v>
      </c>
      <c r="E14" s="35" t="s">
        <v>111</v>
      </c>
      <c r="F14" s="36" t="s">
        <v>112</v>
      </c>
      <c r="G14" s="37" t="s">
        <v>113</v>
      </c>
      <c r="H14" s="38" t="s">
        <v>114</v>
      </c>
      <c r="I14" s="35" t="s">
        <v>111</v>
      </c>
      <c r="J14" s="36" t="s">
        <v>112</v>
      </c>
      <c r="K14" s="37" t="s">
        <v>113</v>
      </c>
      <c r="L14" s="38" t="s">
        <v>114</v>
      </c>
      <c r="M14" s="34" t="s">
        <v>115</v>
      </c>
    </row>
    <row r="15" spans="1:46">
      <c r="A15" s="167" t="s">
        <v>54</v>
      </c>
      <c r="B15" s="30">
        <v>42125</v>
      </c>
      <c r="C15" s="18" t="s">
        <v>46</v>
      </c>
      <c r="D15" s="31">
        <v>9</v>
      </c>
      <c r="E15" s="31"/>
      <c r="F15" s="31"/>
      <c r="G15" s="31"/>
      <c r="H15" s="31"/>
      <c r="I15" s="31"/>
      <c r="J15" s="32"/>
      <c r="K15" s="18"/>
      <c r="L15" s="18"/>
      <c r="M15" s="54"/>
    </row>
    <row r="16" spans="1:46">
      <c r="A16" s="167"/>
      <c r="B16" s="22">
        <v>42126</v>
      </c>
      <c r="C16" s="1" t="s">
        <v>46</v>
      </c>
      <c r="D16" s="3">
        <v>9</v>
      </c>
      <c r="E16" s="3"/>
      <c r="F16" s="3"/>
      <c r="G16" s="3"/>
      <c r="H16" s="3"/>
      <c r="I16" s="3"/>
      <c r="J16" s="29"/>
      <c r="K16" s="1"/>
      <c r="L16" s="1"/>
      <c r="M16" s="54"/>
    </row>
    <row r="17" spans="1:13">
      <c r="A17" s="167"/>
      <c r="B17" s="30">
        <v>42127</v>
      </c>
      <c r="C17" s="1" t="s">
        <v>33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22">
        <v>42128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30">
        <v>42129</v>
      </c>
      <c r="C19" s="1" t="s">
        <v>3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22">
        <v>42130</v>
      </c>
      <c r="C20" s="1" t="s">
        <v>15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30">
        <v>42131</v>
      </c>
      <c r="C21" s="1" t="s">
        <v>13</v>
      </c>
      <c r="D21" s="3">
        <v>10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22">
        <v>42132</v>
      </c>
      <c r="C22" s="1" t="s">
        <v>2</v>
      </c>
      <c r="D22" s="3">
        <v>15</v>
      </c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30">
        <v>42133</v>
      </c>
      <c r="C23" s="1" t="s">
        <v>46</v>
      </c>
      <c r="D23" s="3">
        <v>9</v>
      </c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22">
        <v>42134</v>
      </c>
      <c r="C24" s="1" t="s">
        <v>15</v>
      </c>
      <c r="D24" s="3">
        <v>2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30">
        <v>42135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22">
        <v>42136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30">
        <v>42137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22">
        <v>42138</v>
      </c>
      <c r="C28" s="1" t="s">
        <v>16</v>
      </c>
      <c r="D28" s="3"/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30">
        <v>42139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22">
        <v>42140</v>
      </c>
      <c r="C30" s="1" t="s">
        <v>46</v>
      </c>
      <c r="D30" s="3">
        <v>9</v>
      </c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30">
        <v>42141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22">
        <v>42142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30">
        <v>42143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22">
        <v>42144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30">
        <v>42145</v>
      </c>
      <c r="C35" s="1" t="s">
        <v>46</v>
      </c>
      <c r="D35" s="3"/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22">
        <v>42146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30">
        <v>42147</v>
      </c>
      <c r="C37" s="1" t="s">
        <v>46</v>
      </c>
      <c r="D37" s="3">
        <v>9</v>
      </c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22">
        <v>42148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30">
        <v>42149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22">
        <v>42150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30">
        <v>42151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22">
        <v>42152</v>
      </c>
      <c r="C42" s="1" t="s">
        <v>46</v>
      </c>
      <c r="D42" s="3"/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30">
        <v>42153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 ht="15.75" thickBot="1">
      <c r="A44" s="167"/>
      <c r="B44" s="22">
        <v>42154</v>
      </c>
      <c r="C44" s="1" t="s">
        <v>46</v>
      </c>
      <c r="D44" s="19">
        <v>9</v>
      </c>
      <c r="E44" s="3"/>
      <c r="F44" s="3"/>
      <c r="G44" s="3"/>
      <c r="H44" s="3"/>
      <c r="I44" s="3"/>
      <c r="J44" s="1"/>
      <c r="K44" s="1"/>
      <c r="L44" s="1"/>
      <c r="M44" s="54"/>
    </row>
    <row r="45" spans="1:18" ht="15.75" thickBot="1">
      <c r="A45" s="61"/>
      <c r="B45" s="62" t="s">
        <v>92</v>
      </c>
      <c r="C45" s="63"/>
      <c r="D45" s="64">
        <f>SUM(D15:D44)</f>
        <v>216</v>
      </c>
      <c r="E45"/>
      <c r="F45"/>
      <c r="G45"/>
      <c r="H45"/>
      <c r="I45"/>
    </row>
    <row r="46" spans="1:18" ht="15.75" thickBot="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1"/>
    </row>
    <row r="47" spans="1:18">
      <c r="B47"/>
      <c r="D47"/>
      <c r="E47"/>
      <c r="F47"/>
      <c r="G47"/>
      <c r="H47"/>
      <c r="I47"/>
    </row>
    <row r="48" spans="1:18">
      <c r="B48"/>
      <c r="D48"/>
      <c r="E48"/>
      <c r="F48"/>
      <c r="G48"/>
      <c r="H48"/>
      <c r="I48"/>
    </row>
    <row r="49" spans="1:13" ht="15.75" thickBot="1">
      <c r="B49"/>
      <c r="D49"/>
      <c r="E49"/>
      <c r="F49"/>
      <c r="G49"/>
      <c r="H49"/>
      <c r="I49"/>
    </row>
    <row r="50" spans="1:13" ht="15.75" thickBot="1">
      <c r="E50" s="161" t="s">
        <v>110</v>
      </c>
      <c r="F50" s="162"/>
      <c r="G50" s="162"/>
      <c r="H50" s="163"/>
      <c r="I50" s="164" t="s">
        <v>116</v>
      </c>
      <c r="J50" s="165"/>
      <c r="K50" s="165"/>
      <c r="L50" s="166"/>
    </row>
    <row r="51" spans="1:13" ht="15.75" thickBot="1">
      <c r="A51" s="55" t="s">
        <v>91</v>
      </c>
      <c r="B51" s="33" t="s">
        <v>109</v>
      </c>
      <c r="C51" s="34" t="s">
        <v>11</v>
      </c>
      <c r="D51" s="34" t="s">
        <v>10</v>
      </c>
      <c r="E51" s="35" t="s">
        <v>111</v>
      </c>
      <c r="F51" s="36" t="s">
        <v>112</v>
      </c>
      <c r="G51" s="37" t="s">
        <v>113</v>
      </c>
      <c r="H51" s="38" t="s">
        <v>114</v>
      </c>
      <c r="I51" s="35" t="s">
        <v>111</v>
      </c>
      <c r="J51" s="36" t="s">
        <v>112</v>
      </c>
      <c r="K51" s="37" t="s">
        <v>113</v>
      </c>
      <c r="L51" s="38" t="s">
        <v>114</v>
      </c>
      <c r="M51" s="34" t="s">
        <v>115</v>
      </c>
    </row>
    <row r="52" spans="1:13">
      <c r="A52" s="168" t="s">
        <v>56</v>
      </c>
      <c r="B52" s="30">
        <v>42095</v>
      </c>
      <c r="C52" s="18" t="s">
        <v>46</v>
      </c>
      <c r="D52" s="31"/>
      <c r="E52" s="31"/>
      <c r="F52" s="31"/>
      <c r="G52" s="31"/>
      <c r="H52" s="31"/>
      <c r="I52" s="31"/>
      <c r="J52" s="32"/>
      <c r="K52" s="18"/>
      <c r="L52" s="18"/>
      <c r="M52" s="54"/>
    </row>
    <row r="53" spans="1:13">
      <c r="A53" s="169"/>
      <c r="B53" s="22">
        <v>42096</v>
      </c>
      <c r="C53" s="1" t="s">
        <v>46</v>
      </c>
      <c r="D53" s="3">
        <v>9</v>
      </c>
      <c r="E53" s="3"/>
      <c r="F53" s="3"/>
      <c r="G53" s="3"/>
      <c r="H53" s="3"/>
      <c r="I53" s="3"/>
      <c r="J53" s="29"/>
      <c r="K53" s="1"/>
      <c r="L53" s="1"/>
      <c r="M53" s="54"/>
    </row>
    <row r="54" spans="1:13">
      <c r="A54" s="169"/>
      <c r="B54" s="22">
        <v>42097</v>
      </c>
      <c r="C54" s="1" t="s">
        <v>46</v>
      </c>
      <c r="D54" s="3">
        <v>9</v>
      </c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22">
        <v>42098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42099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42100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42101</v>
      </c>
      <c r="C58" s="1" t="s">
        <v>46</v>
      </c>
      <c r="D58" s="3"/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42102</v>
      </c>
      <c r="C59" s="1" t="s">
        <v>46</v>
      </c>
      <c r="D59" s="3"/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42103</v>
      </c>
      <c r="C60" s="1" t="s">
        <v>46</v>
      </c>
      <c r="D60" s="3">
        <v>9</v>
      </c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42104</v>
      </c>
      <c r="C61" s="1" t="s">
        <v>46</v>
      </c>
      <c r="D61" s="3">
        <v>9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42105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42106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42107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42108</v>
      </c>
      <c r="C65" s="1" t="s">
        <v>46</v>
      </c>
      <c r="D65" s="3"/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42109</v>
      </c>
      <c r="C66" s="1" t="s">
        <v>46</v>
      </c>
      <c r="D66" s="3"/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42110</v>
      </c>
      <c r="C67" s="1" t="s">
        <v>46</v>
      </c>
      <c r="D67" s="3">
        <v>9</v>
      </c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42111</v>
      </c>
      <c r="C68" s="1" t="s">
        <v>46</v>
      </c>
      <c r="D68" s="3">
        <v>9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42112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42113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42114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42115</v>
      </c>
      <c r="C72" s="1" t="s">
        <v>46</v>
      </c>
      <c r="D72" s="3"/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42116</v>
      </c>
      <c r="C73" s="1" t="s">
        <v>46</v>
      </c>
      <c r="D73" s="3"/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42117</v>
      </c>
      <c r="C74" s="1" t="s">
        <v>46</v>
      </c>
      <c r="D74" s="3">
        <v>9</v>
      </c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42118</v>
      </c>
      <c r="C75" s="1" t="s">
        <v>46</v>
      </c>
      <c r="D75" s="3">
        <v>9</v>
      </c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42119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42120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42121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42122</v>
      </c>
      <c r="C79" s="1" t="s">
        <v>46</v>
      </c>
      <c r="D79" s="3"/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42123</v>
      </c>
      <c r="C80" s="1" t="s">
        <v>46</v>
      </c>
      <c r="D80" s="3"/>
      <c r="E80" s="3"/>
      <c r="F80" s="3"/>
      <c r="G80" s="3"/>
      <c r="H80" s="3"/>
      <c r="I80" s="3"/>
      <c r="J80" s="29"/>
      <c r="K80" s="1"/>
      <c r="L80" s="1"/>
      <c r="M80" s="54"/>
    </row>
    <row r="81" spans="1:18" ht="15.75" thickBot="1">
      <c r="A81" s="169"/>
      <c r="B81" s="23">
        <v>42124</v>
      </c>
      <c r="C81" s="1" t="s">
        <v>46</v>
      </c>
      <c r="D81" s="19">
        <v>9</v>
      </c>
      <c r="E81" s="3"/>
      <c r="F81" s="3"/>
      <c r="G81" s="3"/>
      <c r="H81" s="3"/>
      <c r="I81" s="3"/>
      <c r="J81" s="1"/>
      <c r="K81" s="1"/>
      <c r="L81" s="1"/>
      <c r="M81" s="54"/>
    </row>
    <row r="82" spans="1:18" ht="15.75" thickBot="1">
      <c r="A82" s="170"/>
      <c r="B82" s="24" t="s">
        <v>92</v>
      </c>
      <c r="C82" s="20"/>
      <c r="D82" s="21">
        <f>SUM(D52:D81)</f>
        <v>189</v>
      </c>
      <c r="E82"/>
      <c r="F82"/>
      <c r="G82"/>
      <c r="H82"/>
      <c r="I82"/>
    </row>
    <row r="83" spans="1:18" ht="15.75" thickBot="1">
      <c r="A83" s="149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1"/>
    </row>
    <row r="84" spans="1:18">
      <c r="B84"/>
      <c r="D84"/>
      <c r="E84"/>
      <c r="F84"/>
      <c r="G84"/>
      <c r="H84"/>
      <c r="I84"/>
    </row>
    <row r="85" spans="1:18">
      <c r="B85"/>
      <c r="D85"/>
      <c r="E85"/>
      <c r="F85"/>
      <c r="G85"/>
      <c r="H85"/>
      <c r="I85"/>
    </row>
    <row r="86" spans="1:18" ht="15.75" thickBot="1">
      <c r="B86"/>
      <c r="D86"/>
      <c r="E86"/>
      <c r="F86"/>
      <c r="G86"/>
      <c r="H86"/>
      <c r="I86"/>
    </row>
    <row r="87" spans="1:18" ht="15.75" thickBot="1">
      <c r="E87" s="161" t="s">
        <v>110</v>
      </c>
      <c r="F87" s="162"/>
      <c r="G87" s="162"/>
      <c r="H87" s="163"/>
      <c r="I87" s="164" t="s">
        <v>116</v>
      </c>
      <c r="J87" s="165"/>
      <c r="K87" s="165"/>
      <c r="L87" s="166"/>
    </row>
    <row r="88" spans="1:18" ht="15.75" thickBot="1">
      <c r="A88" s="55" t="s">
        <v>91</v>
      </c>
      <c r="B88" s="33" t="s">
        <v>109</v>
      </c>
      <c r="C88" s="34" t="s">
        <v>11</v>
      </c>
      <c r="D88" s="34" t="s">
        <v>10</v>
      </c>
      <c r="E88" s="35" t="s">
        <v>111</v>
      </c>
      <c r="F88" s="36" t="s">
        <v>112</v>
      </c>
      <c r="G88" s="37" t="s">
        <v>113</v>
      </c>
      <c r="H88" s="38" t="s">
        <v>114</v>
      </c>
      <c r="I88" s="35" t="s">
        <v>111</v>
      </c>
      <c r="J88" s="36" t="s">
        <v>112</v>
      </c>
      <c r="K88" s="37" t="s">
        <v>113</v>
      </c>
      <c r="L88" s="38" t="s">
        <v>114</v>
      </c>
      <c r="M88" s="34" t="s">
        <v>115</v>
      </c>
    </row>
    <row r="89" spans="1:18">
      <c r="A89" s="171" t="s">
        <v>58</v>
      </c>
      <c r="B89" s="30">
        <v>42095</v>
      </c>
      <c r="C89" s="18" t="s">
        <v>46</v>
      </c>
      <c r="D89" s="31"/>
      <c r="E89" s="31"/>
      <c r="F89" s="31"/>
      <c r="G89" s="31"/>
      <c r="H89" s="31"/>
      <c r="I89" s="31"/>
      <c r="J89" s="32"/>
      <c r="K89" s="18"/>
      <c r="L89" s="18"/>
      <c r="M89" s="54"/>
    </row>
    <row r="90" spans="1:18">
      <c r="A90" s="171"/>
      <c r="B90" s="22">
        <v>42096</v>
      </c>
      <c r="C90" s="1" t="s">
        <v>46</v>
      </c>
      <c r="D90" s="3">
        <v>9</v>
      </c>
      <c r="E90" s="3"/>
      <c r="F90" s="3"/>
      <c r="G90" s="3"/>
      <c r="H90" s="3"/>
      <c r="I90" s="3"/>
      <c r="J90" s="29"/>
      <c r="K90" s="1"/>
      <c r="L90" s="1"/>
      <c r="M90" s="54"/>
    </row>
    <row r="91" spans="1:18">
      <c r="A91" s="171"/>
      <c r="B91" s="22">
        <v>42097</v>
      </c>
      <c r="C91" s="1" t="s">
        <v>46</v>
      </c>
      <c r="D91" s="3">
        <v>9</v>
      </c>
      <c r="E91" s="3"/>
      <c r="F91" s="3"/>
      <c r="G91" s="3"/>
      <c r="H91" s="3"/>
      <c r="I91" s="3"/>
      <c r="J91" s="29"/>
      <c r="K91" s="1"/>
      <c r="L91" s="1"/>
      <c r="M91" s="54"/>
    </row>
    <row r="92" spans="1:18">
      <c r="A92" s="171"/>
      <c r="B92" s="22">
        <v>42098</v>
      </c>
      <c r="C92" s="1" t="s">
        <v>46</v>
      </c>
      <c r="D92" s="3">
        <v>9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8">
      <c r="A93" s="171"/>
      <c r="B93" s="22">
        <v>42099</v>
      </c>
      <c r="C93" s="1" t="s">
        <v>46</v>
      </c>
      <c r="D93" s="3">
        <v>9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8">
      <c r="A94" s="171"/>
      <c r="B94" s="22">
        <v>42100</v>
      </c>
      <c r="C94" s="1" t="s">
        <v>46</v>
      </c>
      <c r="D94" s="3">
        <v>9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8">
      <c r="A95" s="171"/>
      <c r="B95" s="22">
        <v>42101</v>
      </c>
      <c r="C95" s="1" t="s">
        <v>46</v>
      </c>
      <c r="D95" s="3"/>
      <c r="E95" s="3"/>
      <c r="F95" s="3"/>
      <c r="G95" s="3"/>
      <c r="H95" s="3"/>
      <c r="I95" s="3"/>
      <c r="J95" s="29"/>
      <c r="K95" s="1"/>
      <c r="L95" s="1"/>
      <c r="M95" s="54"/>
    </row>
    <row r="96" spans="1:18">
      <c r="A96" s="171"/>
      <c r="B96" s="22">
        <v>42102</v>
      </c>
      <c r="C96" s="1" t="s">
        <v>46</v>
      </c>
      <c r="D96" s="3"/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71"/>
      <c r="B97" s="22">
        <v>42103</v>
      </c>
      <c r="C97" s="1" t="s">
        <v>46</v>
      </c>
      <c r="D97" s="3">
        <v>9</v>
      </c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71"/>
      <c r="B98" s="22">
        <v>42104</v>
      </c>
      <c r="C98" s="1" t="s">
        <v>46</v>
      </c>
      <c r="D98" s="3">
        <v>9</v>
      </c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71"/>
      <c r="B99" s="22">
        <v>42105</v>
      </c>
      <c r="C99" s="1" t="s">
        <v>46</v>
      </c>
      <c r="D99" s="3">
        <v>9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71"/>
      <c r="B100" s="22">
        <v>42106</v>
      </c>
      <c r="C100" s="1" t="s">
        <v>46</v>
      </c>
      <c r="D100" s="3">
        <v>9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71"/>
      <c r="B101" s="22">
        <v>42107</v>
      </c>
      <c r="C101" s="1" t="s">
        <v>46</v>
      </c>
      <c r="D101" s="3">
        <v>9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71"/>
      <c r="B102" s="22">
        <v>42108</v>
      </c>
      <c r="C102" s="1" t="s">
        <v>46</v>
      </c>
      <c r="D102" s="3"/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71"/>
      <c r="B103" s="22">
        <v>42109</v>
      </c>
      <c r="C103" s="1" t="s">
        <v>2</v>
      </c>
      <c r="D103" s="3">
        <v>15</v>
      </c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71"/>
      <c r="B104" s="22">
        <v>42110</v>
      </c>
      <c r="C104" s="1" t="s">
        <v>46</v>
      </c>
      <c r="D104" s="3">
        <v>9</v>
      </c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71"/>
      <c r="B105" s="22">
        <v>42111</v>
      </c>
      <c r="C105" s="1" t="s">
        <v>46</v>
      </c>
      <c r="D105" s="3">
        <v>9</v>
      </c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71"/>
      <c r="B106" s="22">
        <v>42112</v>
      </c>
      <c r="C106" s="1" t="s">
        <v>46</v>
      </c>
      <c r="D106" s="3">
        <v>9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71"/>
      <c r="B107" s="22">
        <v>42113</v>
      </c>
      <c r="C107" s="1" t="s">
        <v>46</v>
      </c>
      <c r="D107" s="3">
        <v>9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71"/>
      <c r="B108" s="22">
        <v>42114</v>
      </c>
      <c r="C108" s="1" t="s">
        <v>46</v>
      </c>
      <c r="D108" s="3">
        <v>9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71"/>
      <c r="B109" s="22">
        <v>42115</v>
      </c>
      <c r="C109" s="1" t="s">
        <v>46</v>
      </c>
      <c r="D109" s="3"/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71"/>
      <c r="B110" s="22">
        <v>42116</v>
      </c>
      <c r="C110" s="1" t="s">
        <v>46</v>
      </c>
      <c r="D110" s="3"/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71"/>
      <c r="B111" s="22">
        <v>42117</v>
      </c>
      <c r="C111" s="1" t="s">
        <v>46</v>
      </c>
      <c r="D111" s="3">
        <v>9</v>
      </c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71"/>
      <c r="B112" s="22">
        <v>42118</v>
      </c>
      <c r="C112" s="1" t="s">
        <v>46</v>
      </c>
      <c r="D112" s="3">
        <v>9</v>
      </c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71"/>
      <c r="B113" s="22">
        <v>42119</v>
      </c>
      <c r="C113" s="1" t="s">
        <v>46</v>
      </c>
      <c r="D113" s="3">
        <v>9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71"/>
      <c r="B114" s="22">
        <v>42120</v>
      </c>
      <c r="C114" s="1" t="s">
        <v>46</v>
      </c>
      <c r="D114" s="3">
        <v>9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71"/>
      <c r="B115" s="22">
        <v>42121</v>
      </c>
      <c r="C115" s="1" t="s">
        <v>46</v>
      </c>
      <c r="D115" s="3">
        <v>9</v>
      </c>
      <c r="E115" s="3"/>
      <c r="F115" s="3"/>
      <c r="G115" s="3"/>
      <c r="H115" s="3"/>
      <c r="I115" s="3"/>
      <c r="J115" s="29"/>
      <c r="K115" s="1"/>
      <c r="L115" s="1"/>
      <c r="M115" s="54"/>
    </row>
    <row r="116" spans="1:18">
      <c r="A116" s="171"/>
      <c r="B116" s="22">
        <v>42122</v>
      </c>
      <c r="C116" s="1" t="s">
        <v>46</v>
      </c>
      <c r="D116" s="3"/>
      <c r="E116" s="3"/>
      <c r="F116" s="3"/>
      <c r="G116" s="3"/>
      <c r="H116" s="3"/>
      <c r="I116" s="3"/>
      <c r="J116" s="29"/>
      <c r="K116" s="1"/>
      <c r="L116" s="1"/>
      <c r="M116" s="54"/>
    </row>
    <row r="117" spans="1:18">
      <c r="A117" s="171"/>
      <c r="B117" s="22">
        <v>42123</v>
      </c>
      <c r="C117" s="1" t="s">
        <v>46</v>
      </c>
      <c r="D117" s="3"/>
      <c r="E117" s="3"/>
      <c r="F117" s="3"/>
      <c r="G117" s="3"/>
      <c r="H117" s="3"/>
      <c r="I117" s="3"/>
      <c r="J117" s="29"/>
      <c r="K117" s="1"/>
      <c r="L117" s="1"/>
      <c r="M117" s="54"/>
    </row>
    <row r="118" spans="1:18" ht="15.75" thickBot="1">
      <c r="A118" s="171"/>
      <c r="B118" s="23">
        <v>42124</v>
      </c>
      <c r="C118" s="1" t="s">
        <v>46</v>
      </c>
      <c r="D118" s="19">
        <v>9</v>
      </c>
      <c r="E118" s="3"/>
      <c r="F118" s="3"/>
      <c r="G118" s="3"/>
      <c r="H118" s="3"/>
      <c r="I118" s="3"/>
      <c r="J118" s="1"/>
      <c r="K118" s="1"/>
      <c r="L118" s="1"/>
      <c r="M118" s="54"/>
    </row>
    <row r="119" spans="1:18" ht="15.75" thickBot="1">
      <c r="A119" s="171"/>
      <c r="B119" s="24" t="s">
        <v>92</v>
      </c>
      <c r="C119" s="20"/>
      <c r="D119" s="21">
        <f>SUM(D89:D118)</f>
        <v>204</v>
      </c>
      <c r="E119"/>
      <c r="F119"/>
      <c r="G119"/>
      <c r="H119"/>
      <c r="I119"/>
    </row>
    <row r="120" spans="1:18" ht="15.75" thickBot="1">
      <c r="A120" s="149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1"/>
    </row>
    <row r="121" spans="1:18">
      <c r="B121"/>
      <c r="D121"/>
      <c r="E121"/>
      <c r="F121"/>
      <c r="G121"/>
      <c r="H121"/>
      <c r="I121"/>
    </row>
    <row r="122" spans="1:18">
      <c r="B122"/>
      <c r="D122"/>
      <c r="E122"/>
      <c r="F122"/>
      <c r="G122"/>
      <c r="H122"/>
      <c r="I122"/>
    </row>
    <row r="123" spans="1:18">
      <c r="B123"/>
      <c r="D123"/>
      <c r="E123"/>
      <c r="F123"/>
      <c r="G123"/>
      <c r="H123"/>
      <c r="I123"/>
    </row>
    <row r="124" spans="1:18" ht="15.75" thickBot="1">
      <c r="B124"/>
      <c r="D124"/>
      <c r="E124"/>
      <c r="F124"/>
      <c r="G124"/>
      <c r="H124"/>
      <c r="I124"/>
    </row>
    <row r="125" spans="1:18" ht="15.75" thickBot="1">
      <c r="E125" s="161" t="s">
        <v>110</v>
      </c>
      <c r="F125" s="162"/>
      <c r="G125" s="162"/>
      <c r="H125" s="163"/>
      <c r="I125" s="164" t="s">
        <v>116</v>
      </c>
      <c r="J125" s="165"/>
      <c r="K125" s="165"/>
      <c r="L125" s="166"/>
    </row>
    <row r="126" spans="1:18" ht="15.75" thickBot="1">
      <c r="A126" s="55" t="s">
        <v>91</v>
      </c>
      <c r="B126" s="33" t="s">
        <v>109</v>
      </c>
      <c r="C126" s="34" t="s">
        <v>11</v>
      </c>
      <c r="D126" s="34" t="s">
        <v>10</v>
      </c>
      <c r="E126" s="35" t="s">
        <v>111</v>
      </c>
      <c r="F126" s="36" t="s">
        <v>112</v>
      </c>
      <c r="G126" s="37" t="s">
        <v>113</v>
      </c>
      <c r="H126" s="38" t="s">
        <v>114</v>
      </c>
      <c r="I126" s="35" t="s">
        <v>111</v>
      </c>
      <c r="J126" s="36" t="s">
        <v>112</v>
      </c>
      <c r="K126" s="37" t="s">
        <v>113</v>
      </c>
      <c r="L126" s="38" t="s">
        <v>114</v>
      </c>
      <c r="M126" s="34" t="s">
        <v>115</v>
      </c>
    </row>
    <row r="127" spans="1:18">
      <c r="A127" s="158" t="s">
        <v>57</v>
      </c>
      <c r="B127" s="30">
        <v>42095</v>
      </c>
      <c r="C127" s="18" t="s">
        <v>46</v>
      </c>
      <c r="D127" s="31"/>
      <c r="E127" s="31"/>
      <c r="F127" s="31"/>
      <c r="G127" s="31"/>
      <c r="H127" s="31"/>
      <c r="I127" s="31"/>
      <c r="J127" s="32"/>
      <c r="K127" s="18"/>
      <c r="L127" s="18"/>
      <c r="M127" s="54"/>
    </row>
    <row r="128" spans="1:18">
      <c r="A128" s="159"/>
      <c r="B128" s="22">
        <v>42096</v>
      </c>
      <c r="C128" s="1" t="s">
        <v>46</v>
      </c>
      <c r="D128" s="3">
        <v>9</v>
      </c>
      <c r="E128" s="3"/>
      <c r="F128" s="3"/>
      <c r="G128" s="3"/>
      <c r="H128" s="3"/>
      <c r="I128" s="3"/>
      <c r="J128" s="29"/>
      <c r="K128" s="1"/>
      <c r="L128" s="1"/>
      <c r="M128" s="54"/>
    </row>
    <row r="129" spans="1:13">
      <c r="A129" s="159"/>
      <c r="B129" s="22">
        <v>42097</v>
      </c>
      <c r="C129" s="1" t="s">
        <v>46</v>
      </c>
      <c r="D129" s="3">
        <v>9</v>
      </c>
      <c r="E129" s="3"/>
      <c r="F129" s="3"/>
      <c r="G129" s="3"/>
      <c r="H129" s="3"/>
      <c r="I129" s="3"/>
      <c r="J129" s="29"/>
      <c r="K129" s="1"/>
      <c r="L129" s="1"/>
      <c r="M129" s="54"/>
    </row>
    <row r="130" spans="1:13">
      <c r="A130" s="159"/>
      <c r="B130" s="22">
        <v>42098</v>
      </c>
      <c r="C130" s="1" t="s">
        <v>46</v>
      </c>
      <c r="D130" s="3">
        <v>9</v>
      </c>
      <c r="E130" s="3"/>
      <c r="F130" s="3"/>
      <c r="G130" s="3"/>
      <c r="H130" s="3"/>
      <c r="I130" s="3"/>
      <c r="J130" s="29"/>
      <c r="K130" s="1"/>
      <c r="L130" s="1"/>
      <c r="M130" s="54"/>
    </row>
    <row r="131" spans="1:13">
      <c r="A131" s="159"/>
      <c r="B131" s="22">
        <v>42099</v>
      </c>
      <c r="C131" s="1" t="s">
        <v>46</v>
      </c>
      <c r="D131" s="3">
        <v>9</v>
      </c>
      <c r="E131" s="3"/>
      <c r="F131" s="3"/>
      <c r="G131" s="3"/>
      <c r="H131" s="3"/>
      <c r="I131" s="3"/>
      <c r="J131" s="29"/>
      <c r="K131" s="1"/>
      <c r="L131" s="1"/>
      <c r="M131" s="54"/>
    </row>
    <row r="132" spans="1:13">
      <c r="A132" s="159"/>
      <c r="B132" s="22">
        <v>42100</v>
      </c>
      <c r="C132" s="1" t="s">
        <v>46</v>
      </c>
      <c r="D132" s="3">
        <v>9</v>
      </c>
      <c r="E132" s="3"/>
      <c r="F132" s="3"/>
      <c r="G132" s="3"/>
      <c r="H132" s="3"/>
      <c r="I132" s="3"/>
      <c r="J132" s="29"/>
      <c r="K132" s="1"/>
      <c r="L132" s="1"/>
      <c r="M132" s="54"/>
    </row>
    <row r="133" spans="1:13">
      <c r="A133" s="159"/>
      <c r="B133" s="22">
        <v>42101</v>
      </c>
      <c r="C133" s="1" t="s">
        <v>46</v>
      </c>
      <c r="D133" s="3"/>
      <c r="E133" s="3"/>
      <c r="F133" s="3"/>
      <c r="G133" s="3"/>
      <c r="H133" s="3"/>
      <c r="I133" s="3"/>
      <c r="J133" s="29"/>
      <c r="K133" s="1"/>
      <c r="L133" s="1"/>
      <c r="M133" s="54"/>
    </row>
    <row r="134" spans="1:13">
      <c r="A134" s="159"/>
      <c r="B134" s="22">
        <v>42102</v>
      </c>
      <c r="C134" s="1" t="s">
        <v>46</v>
      </c>
      <c r="D134" s="3"/>
      <c r="E134" s="3"/>
      <c r="F134" s="3"/>
      <c r="G134" s="3"/>
      <c r="H134" s="3"/>
      <c r="I134" s="3"/>
      <c r="J134" s="29"/>
      <c r="K134" s="1"/>
      <c r="L134" s="1"/>
      <c r="M134" s="54"/>
    </row>
    <row r="135" spans="1:13">
      <c r="A135" s="159"/>
      <c r="B135" s="22">
        <v>42103</v>
      </c>
      <c r="C135" s="1" t="s">
        <v>46</v>
      </c>
      <c r="D135" s="3">
        <v>9</v>
      </c>
      <c r="E135" s="3"/>
      <c r="F135" s="3"/>
      <c r="G135" s="3"/>
      <c r="H135" s="3"/>
      <c r="I135" s="3"/>
      <c r="J135" s="29"/>
      <c r="K135" s="1"/>
      <c r="L135" s="1"/>
      <c r="M135" s="54"/>
    </row>
    <row r="136" spans="1:13">
      <c r="A136" s="159"/>
      <c r="B136" s="22">
        <v>42104</v>
      </c>
      <c r="C136" s="1" t="s">
        <v>46</v>
      </c>
      <c r="D136" s="3">
        <v>9</v>
      </c>
      <c r="E136" s="3"/>
      <c r="F136" s="3"/>
      <c r="G136" s="3"/>
      <c r="H136" s="3"/>
      <c r="I136" s="3"/>
      <c r="J136" s="29"/>
      <c r="K136" s="1"/>
      <c r="L136" s="1"/>
      <c r="M136" s="54"/>
    </row>
    <row r="137" spans="1:13">
      <c r="A137" s="159"/>
      <c r="B137" s="22">
        <v>42105</v>
      </c>
      <c r="C137" s="1" t="s">
        <v>46</v>
      </c>
      <c r="D137" s="3">
        <v>9</v>
      </c>
      <c r="E137" s="3"/>
      <c r="F137" s="3"/>
      <c r="G137" s="3"/>
      <c r="H137" s="3"/>
      <c r="I137" s="3"/>
      <c r="J137" s="29"/>
      <c r="K137" s="1"/>
      <c r="L137" s="1"/>
      <c r="M137" s="54"/>
    </row>
    <row r="138" spans="1:13">
      <c r="A138" s="159"/>
      <c r="B138" s="22">
        <v>42106</v>
      </c>
      <c r="C138" s="1" t="s">
        <v>46</v>
      </c>
      <c r="D138" s="3">
        <v>9</v>
      </c>
      <c r="E138" s="3"/>
      <c r="F138" s="3"/>
      <c r="G138" s="3"/>
      <c r="H138" s="3"/>
      <c r="I138" s="3"/>
      <c r="J138" s="29"/>
      <c r="K138" s="1"/>
      <c r="L138" s="1"/>
      <c r="M138" s="54"/>
    </row>
    <row r="139" spans="1:13">
      <c r="A139" s="159"/>
      <c r="B139" s="22">
        <v>42107</v>
      </c>
      <c r="C139" s="1" t="s">
        <v>46</v>
      </c>
      <c r="D139" s="3">
        <v>9</v>
      </c>
      <c r="E139" s="3"/>
      <c r="F139" s="3"/>
      <c r="G139" s="3"/>
      <c r="H139" s="3"/>
      <c r="I139" s="3"/>
      <c r="J139" s="29"/>
      <c r="K139" s="1"/>
      <c r="L139" s="1"/>
      <c r="M139" s="54"/>
    </row>
    <row r="140" spans="1:13">
      <c r="A140" s="159"/>
      <c r="B140" s="22">
        <v>42108</v>
      </c>
      <c r="C140" s="1" t="s">
        <v>46</v>
      </c>
      <c r="D140" s="3"/>
      <c r="E140" s="3"/>
      <c r="F140" s="3"/>
      <c r="G140" s="3"/>
      <c r="H140" s="3"/>
      <c r="I140" s="3"/>
      <c r="J140" s="29"/>
      <c r="K140" s="1"/>
      <c r="L140" s="1"/>
      <c r="M140" s="54"/>
    </row>
    <row r="141" spans="1:13">
      <c r="A141" s="159"/>
      <c r="B141" s="22">
        <v>42109</v>
      </c>
      <c r="C141" s="1" t="s">
        <v>46</v>
      </c>
      <c r="D141" s="3"/>
      <c r="E141" s="3"/>
      <c r="F141" s="3"/>
      <c r="G141" s="3"/>
      <c r="H141" s="3"/>
      <c r="I141" s="3"/>
      <c r="J141" s="29"/>
      <c r="K141" s="1"/>
      <c r="L141" s="1"/>
      <c r="M141" s="54"/>
    </row>
    <row r="142" spans="1:13">
      <c r="A142" s="159"/>
      <c r="B142" s="22">
        <v>42110</v>
      </c>
      <c r="C142" s="1" t="s">
        <v>46</v>
      </c>
      <c r="D142" s="3">
        <v>9</v>
      </c>
      <c r="E142" s="3"/>
      <c r="F142" s="3"/>
      <c r="G142" s="3"/>
      <c r="H142" s="3"/>
      <c r="I142" s="3"/>
      <c r="J142" s="29"/>
      <c r="K142" s="1"/>
      <c r="L142" s="1"/>
      <c r="M142" s="54"/>
    </row>
    <row r="143" spans="1:13">
      <c r="A143" s="159"/>
      <c r="B143" s="22">
        <v>42111</v>
      </c>
      <c r="C143" s="1" t="s">
        <v>46</v>
      </c>
      <c r="D143" s="3">
        <v>9</v>
      </c>
      <c r="E143" s="3"/>
      <c r="F143" s="3"/>
      <c r="G143" s="3"/>
      <c r="H143" s="3"/>
      <c r="I143" s="3"/>
      <c r="J143" s="29"/>
      <c r="K143" s="1"/>
      <c r="L143" s="1"/>
      <c r="M143" s="54"/>
    </row>
    <row r="144" spans="1:13">
      <c r="A144" s="159"/>
      <c r="B144" s="22">
        <v>42112</v>
      </c>
      <c r="C144" s="1" t="s">
        <v>46</v>
      </c>
      <c r="D144" s="3">
        <v>9</v>
      </c>
      <c r="E144" s="3"/>
      <c r="F144" s="3"/>
      <c r="G144" s="3"/>
      <c r="H144" s="3"/>
      <c r="I144" s="3"/>
      <c r="J144" s="29"/>
      <c r="K144" s="1"/>
      <c r="L144" s="1"/>
      <c r="M144" s="54"/>
    </row>
    <row r="145" spans="1:18">
      <c r="A145" s="159"/>
      <c r="B145" s="22">
        <v>42113</v>
      </c>
      <c r="C145" s="1" t="s">
        <v>46</v>
      </c>
      <c r="D145" s="3">
        <v>9</v>
      </c>
      <c r="E145" s="3"/>
      <c r="F145" s="3"/>
      <c r="G145" s="3"/>
      <c r="H145" s="3"/>
      <c r="I145" s="3"/>
      <c r="J145" s="29"/>
      <c r="K145" s="1"/>
      <c r="L145" s="1"/>
      <c r="M145" s="54"/>
    </row>
    <row r="146" spans="1:18">
      <c r="A146" s="159"/>
      <c r="B146" s="22">
        <v>42114</v>
      </c>
      <c r="C146" s="1" t="s">
        <v>46</v>
      </c>
      <c r="D146" s="3">
        <v>9</v>
      </c>
      <c r="E146" s="3"/>
      <c r="F146" s="3"/>
      <c r="G146" s="3"/>
      <c r="H146" s="3"/>
      <c r="I146" s="3"/>
      <c r="J146" s="29"/>
      <c r="K146" s="1"/>
      <c r="L146" s="1"/>
      <c r="M146" s="54"/>
    </row>
    <row r="147" spans="1:18">
      <c r="A147" s="159"/>
      <c r="B147" s="22">
        <v>42115</v>
      </c>
      <c r="C147" s="1" t="s">
        <v>46</v>
      </c>
      <c r="D147" s="3"/>
      <c r="E147" s="3"/>
      <c r="F147" s="3"/>
      <c r="G147" s="3"/>
      <c r="H147" s="3"/>
      <c r="I147" s="3"/>
      <c r="J147" s="29"/>
      <c r="K147" s="1"/>
      <c r="L147" s="1"/>
      <c r="M147" s="54"/>
    </row>
    <row r="148" spans="1:18">
      <c r="A148" s="159"/>
      <c r="B148" s="22">
        <v>42116</v>
      </c>
      <c r="C148" s="1" t="s">
        <v>46</v>
      </c>
      <c r="D148" s="3"/>
      <c r="E148" s="3"/>
      <c r="F148" s="3"/>
      <c r="G148" s="3"/>
      <c r="H148" s="3"/>
      <c r="I148" s="3"/>
      <c r="J148" s="29"/>
      <c r="K148" s="1"/>
      <c r="L148" s="1"/>
      <c r="M148" s="54"/>
    </row>
    <row r="149" spans="1:18">
      <c r="A149" s="159"/>
      <c r="B149" s="22">
        <v>42117</v>
      </c>
      <c r="C149" s="1" t="s">
        <v>46</v>
      </c>
      <c r="D149" s="3">
        <v>9</v>
      </c>
      <c r="E149" s="3"/>
      <c r="F149" s="3"/>
      <c r="G149" s="3"/>
      <c r="H149" s="3"/>
      <c r="I149" s="3"/>
      <c r="J149" s="29"/>
      <c r="K149" s="1"/>
      <c r="L149" s="1"/>
      <c r="M149" s="54"/>
    </row>
    <row r="150" spans="1:18">
      <c r="A150" s="159"/>
      <c r="B150" s="22">
        <v>42118</v>
      </c>
      <c r="C150" s="1" t="s">
        <v>46</v>
      </c>
      <c r="D150" s="3">
        <v>9</v>
      </c>
      <c r="E150" s="3"/>
      <c r="F150" s="3"/>
      <c r="G150" s="3"/>
      <c r="H150" s="3"/>
      <c r="I150" s="3"/>
      <c r="J150" s="29"/>
      <c r="K150" s="1"/>
      <c r="L150" s="1"/>
      <c r="M150" s="54"/>
    </row>
    <row r="151" spans="1:18">
      <c r="A151" s="159"/>
      <c r="B151" s="22">
        <v>42119</v>
      </c>
      <c r="C151" s="1" t="s">
        <v>46</v>
      </c>
      <c r="D151" s="3">
        <v>9</v>
      </c>
      <c r="E151" s="3"/>
      <c r="F151" s="3"/>
      <c r="G151" s="3"/>
      <c r="H151" s="3"/>
      <c r="I151" s="3"/>
      <c r="J151" s="29"/>
      <c r="K151" s="1"/>
      <c r="L151" s="1"/>
      <c r="M151" s="54"/>
    </row>
    <row r="152" spans="1:18">
      <c r="A152" s="159"/>
      <c r="B152" s="22">
        <v>42120</v>
      </c>
      <c r="C152" s="1" t="s">
        <v>46</v>
      </c>
      <c r="D152" s="3">
        <v>9</v>
      </c>
      <c r="E152" s="3"/>
      <c r="F152" s="3"/>
      <c r="G152" s="3"/>
      <c r="H152" s="3"/>
      <c r="I152" s="3"/>
      <c r="J152" s="29"/>
      <c r="K152" s="1"/>
      <c r="L152" s="1"/>
      <c r="M152" s="54"/>
    </row>
    <row r="153" spans="1:18">
      <c r="A153" s="159"/>
      <c r="B153" s="22">
        <v>42121</v>
      </c>
      <c r="C153" s="1" t="s">
        <v>46</v>
      </c>
      <c r="D153" s="3">
        <v>9</v>
      </c>
      <c r="E153" s="3"/>
      <c r="F153" s="3"/>
      <c r="G153" s="3"/>
      <c r="H153" s="3"/>
      <c r="I153" s="3"/>
      <c r="J153" s="29"/>
      <c r="K153" s="1"/>
      <c r="L153" s="1"/>
      <c r="M153" s="54"/>
    </row>
    <row r="154" spans="1:18">
      <c r="A154" s="159"/>
      <c r="B154" s="22">
        <v>42122</v>
      </c>
      <c r="C154" s="1" t="s">
        <v>46</v>
      </c>
      <c r="D154" s="3"/>
      <c r="E154" s="3"/>
      <c r="F154" s="3"/>
      <c r="G154" s="3"/>
      <c r="H154" s="3"/>
      <c r="I154" s="3"/>
      <c r="J154" s="29"/>
      <c r="K154" s="1"/>
      <c r="L154" s="1"/>
      <c r="M154" s="54"/>
    </row>
    <row r="155" spans="1:18">
      <c r="A155" s="159"/>
      <c r="B155" s="22">
        <v>42123</v>
      </c>
      <c r="C155" s="1" t="s">
        <v>46</v>
      </c>
      <c r="D155" s="3"/>
      <c r="E155" s="3"/>
      <c r="F155" s="3"/>
      <c r="G155" s="3"/>
      <c r="H155" s="3"/>
      <c r="I155" s="3"/>
      <c r="J155" s="29"/>
      <c r="K155" s="1"/>
      <c r="L155" s="1"/>
      <c r="M155" s="54"/>
    </row>
    <row r="156" spans="1:18" ht="15.75" thickBot="1">
      <c r="A156" s="159"/>
      <c r="B156" s="23">
        <v>42124</v>
      </c>
      <c r="C156" s="1" t="s">
        <v>46</v>
      </c>
      <c r="D156" s="19">
        <v>9</v>
      </c>
      <c r="E156" s="3"/>
      <c r="F156" s="3"/>
      <c r="G156" s="3"/>
      <c r="H156" s="3"/>
      <c r="I156" s="3"/>
      <c r="J156" s="1"/>
      <c r="K156" s="1"/>
      <c r="L156" s="1"/>
      <c r="M156" s="54"/>
    </row>
    <row r="157" spans="1:18" ht="15.75" thickBot="1">
      <c r="A157" s="160"/>
      <c r="B157" s="24" t="s">
        <v>92</v>
      </c>
      <c r="C157" s="20"/>
      <c r="D157" s="21">
        <f>SUM(D127:D156)</f>
        <v>189</v>
      </c>
      <c r="E157"/>
      <c r="F157"/>
      <c r="G157"/>
      <c r="H157"/>
      <c r="I157"/>
    </row>
    <row r="158" spans="1:18" ht="15.75" thickBot="1">
      <c r="A158" s="149"/>
      <c r="B158" s="150"/>
      <c r="C158" s="150"/>
      <c r="D158" s="150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150"/>
      <c r="R158" s="151"/>
    </row>
    <row r="159" spans="1:18">
      <c r="B159"/>
      <c r="D159"/>
      <c r="E159"/>
      <c r="F159"/>
      <c r="G159"/>
      <c r="H159"/>
      <c r="I159"/>
    </row>
    <row r="160" spans="1:18">
      <c r="B160"/>
      <c r="D160"/>
      <c r="E160"/>
      <c r="F160"/>
      <c r="G160"/>
      <c r="H160"/>
      <c r="I160"/>
    </row>
    <row r="161" spans="1:13" ht="15.75" thickBot="1">
      <c r="B161"/>
      <c r="D161"/>
      <c r="E161"/>
      <c r="F161"/>
      <c r="G161"/>
      <c r="H161"/>
      <c r="I161"/>
    </row>
    <row r="162" spans="1:13" ht="15.75" thickBot="1">
      <c r="E162" s="161" t="s">
        <v>110</v>
      </c>
      <c r="F162" s="162"/>
      <c r="G162" s="162"/>
      <c r="H162" s="163"/>
      <c r="I162" s="164" t="s">
        <v>116</v>
      </c>
      <c r="J162" s="165"/>
      <c r="K162" s="165"/>
      <c r="L162" s="166"/>
    </row>
    <row r="163" spans="1:13" ht="15.75" thickBot="1">
      <c r="A163" s="55" t="s">
        <v>91</v>
      </c>
      <c r="B163" s="33" t="s">
        <v>109</v>
      </c>
      <c r="C163" s="34" t="s">
        <v>11</v>
      </c>
      <c r="D163" s="34" t="s">
        <v>10</v>
      </c>
      <c r="E163" s="35" t="s">
        <v>111</v>
      </c>
      <c r="F163" s="36" t="s">
        <v>112</v>
      </c>
      <c r="G163" s="37" t="s">
        <v>113</v>
      </c>
      <c r="H163" s="38" t="s">
        <v>114</v>
      </c>
      <c r="I163" s="35" t="s">
        <v>111</v>
      </c>
      <c r="J163" s="36" t="s">
        <v>112</v>
      </c>
      <c r="K163" s="37" t="s">
        <v>113</v>
      </c>
      <c r="L163" s="38" t="s">
        <v>114</v>
      </c>
      <c r="M163" s="34" t="s">
        <v>115</v>
      </c>
    </row>
    <row r="164" spans="1:13">
      <c r="A164" s="155" t="s">
        <v>79</v>
      </c>
      <c r="B164" s="30">
        <v>42095</v>
      </c>
      <c r="C164" s="18" t="s">
        <v>46</v>
      </c>
      <c r="D164" s="31"/>
      <c r="E164" s="31"/>
      <c r="F164" s="31"/>
      <c r="G164" s="31"/>
      <c r="H164" s="31"/>
      <c r="I164" s="31"/>
      <c r="J164" s="32"/>
      <c r="K164" s="18"/>
      <c r="L164" s="18"/>
      <c r="M164" s="54"/>
    </row>
    <row r="165" spans="1:13">
      <c r="A165" s="156"/>
      <c r="B165" s="22">
        <v>42096</v>
      </c>
      <c r="C165" s="1" t="s">
        <v>46</v>
      </c>
      <c r="D165" s="3">
        <v>9</v>
      </c>
      <c r="E165" s="3"/>
      <c r="F165" s="3"/>
      <c r="G165" s="3"/>
      <c r="H165" s="3"/>
      <c r="I165" s="3"/>
      <c r="J165" s="29"/>
      <c r="K165" s="1"/>
      <c r="L165" s="1"/>
      <c r="M165" s="54"/>
    </row>
    <row r="166" spans="1:13">
      <c r="A166" s="156"/>
      <c r="B166" s="22">
        <v>42097</v>
      </c>
      <c r="C166" s="1" t="s">
        <v>46</v>
      </c>
      <c r="D166" s="3">
        <v>9</v>
      </c>
      <c r="E166" s="3"/>
      <c r="F166" s="3"/>
      <c r="G166" s="3"/>
      <c r="H166" s="3"/>
      <c r="I166" s="3"/>
      <c r="J166" s="29"/>
      <c r="K166" s="1"/>
      <c r="L166" s="1"/>
      <c r="M166" s="54"/>
    </row>
    <row r="167" spans="1:13">
      <c r="A167" s="156"/>
      <c r="B167" s="22">
        <v>42098</v>
      </c>
      <c r="C167" s="1" t="s">
        <v>46</v>
      </c>
      <c r="D167" s="3">
        <v>9</v>
      </c>
      <c r="E167" s="3"/>
      <c r="F167" s="3"/>
      <c r="G167" s="3"/>
      <c r="H167" s="3"/>
      <c r="I167" s="3"/>
      <c r="J167" s="29"/>
      <c r="K167" s="1"/>
      <c r="L167" s="1"/>
      <c r="M167" s="54"/>
    </row>
    <row r="168" spans="1:13">
      <c r="A168" s="156"/>
      <c r="B168" s="22">
        <v>42099</v>
      </c>
      <c r="C168" s="1" t="s">
        <v>46</v>
      </c>
      <c r="D168" s="3">
        <v>9</v>
      </c>
      <c r="E168" s="3"/>
      <c r="F168" s="3"/>
      <c r="G168" s="3"/>
      <c r="H168" s="3"/>
      <c r="I168" s="3"/>
      <c r="J168" s="29"/>
      <c r="K168" s="1"/>
      <c r="L168" s="1"/>
      <c r="M168" s="54"/>
    </row>
    <row r="169" spans="1:13">
      <c r="A169" s="156"/>
      <c r="B169" s="22">
        <v>42100</v>
      </c>
      <c r="C169" s="1" t="s">
        <v>46</v>
      </c>
      <c r="D169" s="3">
        <v>9</v>
      </c>
      <c r="E169" s="3"/>
      <c r="F169" s="3"/>
      <c r="G169" s="3"/>
      <c r="H169" s="3"/>
      <c r="I169" s="3"/>
      <c r="J169" s="29"/>
      <c r="K169" s="1"/>
      <c r="L169" s="1"/>
      <c r="M169" s="54"/>
    </row>
    <row r="170" spans="1:13">
      <c r="A170" s="156"/>
      <c r="B170" s="22">
        <v>42101</v>
      </c>
      <c r="C170" s="1" t="s">
        <v>46</v>
      </c>
      <c r="D170" s="3"/>
      <c r="E170" s="3"/>
      <c r="F170" s="3"/>
      <c r="G170" s="3"/>
      <c r="H170" s="3"/>
      <c r="I170" s="3"/>
      <c r="J170" s="29"/>
      <c r="K170" s="1"/>
      <c r="L170" s="1"/>
      <c r="M170" s="54"/>
    </row>
    <row r="171" spans="1:13">
      <c r="A171" s="156"/>
      <c r="B171" s="22">
        <v>42102</v>
      </c>
      <c r="C171" s="1" t="s">
        <v>46</v>
      </c>
      <c r="D171" s="3"/>
      <c r="E171" s="3"/>
      <c r="F171" s="3"/>
      <c r="G171" s="3"/>
      <c r="H171" s="3"/>
      <c r="I171" s="3"/>
      <c r="J171" s="29"/>
      <c r="K171" s="1"/>
      <c r="L171" s="1"/>
      <c r="M171" s="54"/>
    </row>
    <row r="172" spans="1:13">
      <c r="A172" s="156"/>
      <c r="B172" s="22">
        <v>42103</v>
      </c>
      <c r="C172" s="1" t="s">
        <v>46</v>
      </c>
      <c r="D172" s="3">
        <v>9</v>
      </c>
      <c r="E172" s="3"/>
      <c r="F172" s="3"/>
      <c r="G172" s="3"/>
      <c r="H172" s="3"/>
      <c r="I172" s="3"/>
      <c r="J172" s="29"/>
      <c r="K172" s="1"/>
      <c r="L172" s="1"/>
      <c r="M172" s="54"/>
    </row>
    <row r="173" spans="1:13">
      <c r="A173" s="156"/>
      <c r="B173" s="22">
        <v>42104</v>
      </c>
      <c r="C173" s="1" t="s">
        <v>46</v>
      </c>
      <c r="D173" s="3">
        <v>9</v>
      </c>
      <c r="E173" s="3"/>
      <c r="F173" s="3"/>
      <c r="G173" s="3"/>
      <c r="H173" s="3"/>
      <c r="I173" s="3"/>
      <c r="J173" s="29"/>
      <c r="K173" s="1"/>
      <c r="L173" s="1"/>
      <c r="M173" s="54"/>
    </row>
    <row r="174" spans="1:13">
      <c r="A174" s="156"/>
      <c r="B174" s="22">
        <v>42105</v>
      </c>
      <c r="C174" s="1" t="s">
        <v>46</v>
      </c>
      <c r="D174" s="3">
        <v>9</v>
      </c>
      <c r="E174" s="3"/>
      <c r="F174" s="3"/>
      <c r="G174" s="3"/>
      <c r="H174" s="3"/>
      <c r="I174" s="3"/>
      <c r="J174" s="29"/>
      <c r="K174" s="1"/>
      <c r="L174" s="1"/>
      <c r="M174" s="54"/>
    </row>
    <row r="175" spans="1:13">
      <c r="A175" s="156"/>
      <c r="B175" s="22">
        <v>42106</v>
      </c>
      <c r="C175" s="1" t="s">
        <v>46</v>
      </c>
      <c r="D175" s="3">
        <v>9</v>
      </c>
      <c r="E175" s="3"/>
      <c r="F175" s="3"/>
      <c r="G175" s="3"/>
      <c r="H175" s="3"/>
      <c r="I175" s="3"/>
      <c r="J175" s="29"/>
      <c r="K175" s="1"/>
      <c r="L175" s="1"/>
      <c r="M175" s="54"/>
    </row>
    <row r="176" spans="1:13">
      <c r="A176" s="156"/>
      <c r="B176" s="22">
        <v>42107</v>
      </c>
      <c r="C176" s="1" t="s">
        <v>46</v>
      </c>
      <c r="D176" s="3">
        <v>9</v>
      </c>
      <c r="E176" s="3"/>
      <c r="F176" s="3"/>
      <c r="G176" s="3"/>
      <c r="H176" s="3"/>
      <c r="I176" s="3"/>
      <c r="J176" s="29"/>
      <c r="K176" s="1"/>
      <c r="L176" s="1"/>
      <c r="M176" s="54"/>
    </row>
    <row r="177" spans="1:13">
      <c r="A177" s="156"/>
      <c r="B177" s="22">
        <v>42108</v>
      </c>
      <c r="C177" s="1" t="s">
        <v>46</v>
      </c>
      <c r="D177" s="3"/>
      <c r="E177" s="3"/>
      <c r="F177" s="3"/>
      <c r="G177" s="3"/>
      <c r="H177" s="3"/>
      <c r="I177" s="3"/>
      <c r="J177" s="29"/>
      <c r="K177" s="1"/>
      <c r="L177" s="1"/>
      <c r="M177" s="54"/>
    </row>
    <row r="178" spans="1:13">
      <c r="A178" s="156"/>
      <c r="B178" s="22">
        <v>42109</v>
      </c>
      <c r="C178" s="1" t="s">
        <v>46</v>
      </c>
      <c r="D178" s="3"/>
      <c r="E178" s="3"/>
      <c r="F178" s="3"/>
      <c r="G178" s="3"/>
      <c r="H178" s="3"/>
      <c r="I178" s="3"/>
      <c r="J178" s="29"/>
      <c r="K178" s="1"/>
      <c r="L178" s="1"/>
      <c r="M178" s="54"/>
    </row>
    <row r="179" spans="1:13">
      <c r="A179" s="156"/>
      <c r="B179" s="22">
        <v>42110</v>
      </c>
      <c r="C179" s="1" t="s">
        <v>46</v>
      </c>
      <c r="D179" s="3">
        <v>9</v>
      </c>
      <c r="E179" s="3"/>
      <c r="F179" s="3"/>
      <c r="G179" s="3"/>
      <c r="H179" s="3"/>
      <c r="I179" s="3"/>
      <c r="J179" s="29"/>
      <c r="K179" s="1"/>
      <c r="L179" s="1"/>
      <c r="M179" s="54"/>
    </row>
    <row r="180" spans="1:13">
      <c r="A180" s="156"/>
      <c r="B180" s="22">
        <v>42111</v>
      </c>
      <c r="C180" s="1" t="s">
        <v>46</v>
      </c>
      <c r="D180" s="3">
        <v>9</v>
      </c>
      <c r="E180" s="3"/>
      <c r="F180" s="3"/>
      <c r="G180" s="3"/>
      <c r="H180" s="3"/>
      <c r="I180" s="3"/>
      <c r="J180" s="29"/>
      <c r="K180" s="1"/>
      <c r="L180" s="1"/>
      <c r="M180" s="54"/>
    </row>
    <row r="181" spans="1:13">
      <c r="A181" s="156"/>
      <c r="B181" s="22">
        <v>42112</v>
      </c>
      <c r="C181" s="1" t="s">
        <v>46</v>
      </c>
      <c r="D181" s="3">
        <v>9</v>
      </c>
      <c r="E181" s="3"/>
      <c r="F181" s="3"/>
      <c r="G181" s="3"/>
      <c r="H181" s="3"/>
      <c r="I181" s="3"/>
      <c r="J181" s="29"/>
      <c r="K181" s="1"/>
      <c r="L181" s="1"/>
      <c r="M181" s="54"/>
    </row>
    <row r="182" spans="1:13">
      <c r="A182" s="156"/>
      <c r="B182" s="22">
        <v>42113</v>
      </c>
      <c r="C182" s="1" t="s">
        <v>46</v>
      </c>
      <c r="D182" s="3">
        <v>9</v>
      </c>
      <c r="E182" s="3"/>
      <c r="F182" s="3"/>
      <c r="G182" s="3"/>
      <c r="H182" s="3"/>
      <c r="I182" s="3"/>
      <c r="J182" s="29"/>
      <c r="K182" s="1"/>
      <c r="L182" s="1"/>
      <c r="M182" s="54"/>
    </row>
    <row r="183" spans="1:13">
      <c r="A183" s="156"/>
      <c r="B183" s="22">
        <v>42114</v>
      </c>
      <c r="C183" s="1" t="s">
        <v>46</v>
      </c>
      <c r="D183" s="3">
        <v>9</v>
      </c>
      <c r="E183" s="3"/>
      <c r="F183" s="3"/>
      <c r="G183" s="3"/>
      <c r="H183" s="3"/>
      <c r="I183" s="3"/>
      <c r="J183" s="29"/>
      <c r="K183" s="1"/>
      <c r="L183" s="1"/>
      <c r="M183" s="54"/>
    </row>
    <row r="184" spans="1:13">
      <c r="A184" s="156"/>
      <c r="B184" s="22">
        <v>42115</v>
      </c>
      <c r="C184" s="1" t="s">
        <v>46</v>
      </c>
      <c r="D184" s="3"/>
      <c r="E184" s="3"/>
      <c r="F184" s="3"/>
      <c r="G184" s="3"/>
      <c r="H184" s="3"/>
      <c r="I184" s="3"/>
      <c r="J184" s="29"/>
      <c r="K184" s="1"/>
      <c r="L184" s="1"/>
      <c r="M184" s="54"/>
    </row>
    <row r="185" spans="1:13">
      <c r="A185" s="156"/>
      <c r="B185" s="22">
        <v>42116</v>
      </c>
      <c r="C185" s="1" t="s">
        <v>46</v>
      </c>
      <c r="D185" s="3">
        <v>7</v>
      </c>
      <c r="E185" s="3"/>
      <c r="F185" s="3"/>
      <c r="G185" s="3"/>
      <c r="H185" s="3"/>
      <c r="I185" s="3"/>
      <c r="J185" s="29"/>
      <c r="K185" s="1"/>
      <c r="L185" s="1"/>
      <c r="M185" s="54"/>
    </row>
    <row r="186" spans="1:13">
      <c r="A186" s="156"/>
      <c r="B186" s="22">
        <v>42117</v>
      </c>
      <c r="C186" s="1" t="s">
        <v>46</v>
      </c>
      <c r="D186" s="3">
        <v>9</v>
      </c>
      <c r="E186" s="3"/>
      <c r="F186" s="3"/>
      <c r="G186" s="3"/>
      <c r="H186" s="3"/>
      <c r="I186" s="3"/>
      <c r="J186" s="29"/>
      <c r="K186" s="1"/>
      <c r="L186" s="1"/>
      <c r="M186" s="54"/>
    </row>
    <row r="187" spans="1:13">
      <c r="A187" s="156"/>
      <c r="B187" s="22">
        <v>42118</v>
      </c>
      <c r="C187" s="1" t="s">
        <v>46</v>
      </c>
      <c r="D187" s="3">
        <v>9</v>
      </c>
      <c r="E187" s="3"/>
      <c r="F187" s="3"/>
      <c r="G187" s="3"/>
      <c r="H187" s="3"/>
      <c r="I187" s="3"/>
      <c r="J187" s="29"/>
      <c r="K187" s="1"/>
      <c r="L187" s="1"/>
      <c r="M187" s="54"/>
    </row>
    <row r="188" spans="1:13">
      <c r="A188" s="156"/>
      <c r="B188" s="22">
        <v>42119</v>
      </c>
      <c r="C188" s="1" t="s">
        <v>46</v>
      </c>
      <c r="D188" s="3">
        <v>9</v>
      </c>
      <c r="E188" s="3"/>
      <c r="F188" s="3"/>
      <c r="G188" s="3"/>
      <c r="H188" s="3"/>
      <c r="I188" s="3"/>
      <c r="J188" s="29"/>
      <c r="K188" s="1"/>
      <c r="L188" s="1"/>
      <c r="M188" s="54"/>
    </row>
    <row r="189" spans="1:13">
      <c r="A189" s="156"/>
      <c r="B189" s="22">
        <v>42120</v>
      </c>
      <c r="C189" s="1" t="s">
        <v>46</v>
      </c>
      <c r="D189" s="3">
        <v>9</v>
      </c>
      <c r="E189" s="3"/>
      <c r="F189" s="3"/>
      <c r="G189" s="3"/>
      <c r="H189" s="3"/>
      <c r="I189" s="3"/>
      <c r="J189" s="29"/>
      <c r="K189" s="1"/>
      <c r="L189" s="1"/>
      <c r="M189" s="54"/>
    </row>
    <row r="190" spans="1:13">
      <c r="A190" s="156"/>
      <c r="B190" s="22">
        <v>42121</v>
      </c>
      <c r="C190" s="1" t="s">
        <v>46</v>
      </c>
      <c r="D190" s="3">
        <v>9</v>
      </c>
      <c r="E190" s="3"/>
      <c r="F190" s="3"/>
      <c r="G190" s="3"/>
      <c r="H190" s="3"/>
      <c r="I190" s="3"/>
      <c r="J190" s="29"/>
      <c r="K190" s="1"/>
      <c r="L190" s="1"/>
      <c r="M190" s="54"/>
    </row>
    <row r="191" spans="1:13">
      <c r="A191" s="156"/>
      <c r="B191" s="22">
        <v>42122</v>
      </c>
      <c r="C191" s="1" t="s">
        <v>46</v>
      </c>
      <c r="D191" s="3"/>
      <c r="E191" s="3"/>
      <c r="F191" s="3"/>
      <c r="G191" s="3"/>
      <c r="H191" s="3"/>
      <c r="I191" s="3"/>
      <c r="J191" s="29"/>
      <c r="K191" s="1"/>
      <c r="L191" s="1"/>
      <c r="M191" s="54"/>
    </row>
    <row r="192" spans="1:13">
      <c r="A192" s="156"/>
      <c r="B192" s="22">
        <v>42123</v>
      </c>
      <c r="C192" s="1" t="s">
        <v>46</v>
      </c>
      <c r="D192" s="3"/>
      <c r="E192" s="3"/>
      <c r="F192" s="3"/>
      <c r="G192" s="3"/>
      <c r="H192" s="3"/>
      <c r="I192" s="3"/>
      <c r="J192" s="29"/>
      <c r="K192" s="1"/>
      <c r="L192" s="1"/>
      <c r="M192" s="54"/>
    </row>
    <row r="193" spans="1:18" ht="15.75" thickBot="1">
      <c r="A193" s="156"/>
      <c r="B193" s="23">
        <v>42124</v>
      </c>
      <c r="C193" s="1" t="s">
        <v>46</v>
      </c>
      <c r="D193" s="19">
        <v>9</v>
      </c>
      <c r="E193" s="3"/>
      <c r="F193" s="3"/>
      <c r="G193" s="3"/>
      <c r="H193" s="3"/>
      <c r="I193" s="3"/>
      <c r="J193" s="1"/>
      <c r="K193" s="1"/>
      <c r="L193" s="1"/>
      <c r="M193" s="54"/>
    </row>
    <row r="194" spans="1:18" ht="15.75" thickBot="1">
      <c r="A194" s="157"/>
      <c r="B194" s="24" t="s">
        <v>92</v>
      </c>
      <c r="C194" s="20"/>
      <c r="D194" s="21">
        <f>SUM(D164:D193)</f>
        <v>196</v>
      </c>
      <c r="E194"/>
      <c r="F194"/>
      <c r="G194"/>
      <c r="H194"/>
      <c r="I194"/>
    </row>
    <row r="195" spans="1:18" ht="15.75" thickBot="1">
      <c r="A195" s="149"/>
      <c r="B195" s="150"/>
      <c r="C195" s="150"/>
      <c r="D195" s="150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1"/>
    </row>
    <row r="196" spans="1:18">
      <c r="B196"/>
      <c r="D196"/>
      <c r="E196"/>
      <c r="F196"/>
      <c r="G196"/>
      <c r="H196"/>
      <c r="I196"/>
    </row>
    <row r="197" spans="1:18">
      <c r="B197"/>
      <c r="D197"/>
      <c r="E197"/>
      <c r="F197"/>
      <c r="G197"/>
      <c r="H197"/>
      <c r="I197"/>
    </row>
    <row r="198" spans="1:18" ht="15.75" thickBot="1"/>
    <row r="199" spans="1:18" ht="15.75" thickBot="1">
      <c r="E199" s="161" t="s">
        <v>110</v>
      </c>
      <c r="F199" s="162"/>
      <c r="G199" s="162"/>
      <c r="H199" s="163"/>
      <c r="I199" s="164" t="s">
        <v>116</v>
      </c>
      <c r="J199" s="165"/>
      <c r="K199" s="165"/>
      <c r="L199" s="166"/>
    </row>
    <row r="200" spans="1:18" ht="15.75" thickBot="1">
      <c r="A200" s="55" t="s">
        <v>91</v>
      </c>
      <c r="B200" s="33" t="s">
        <v>109</v>
      </c>
      <c r="C200" s="34" t="s">
        <v>11</v>
      </c>
      <c r="D200" s="34" t="s">
        <v>10</v>
      </c>
      <c r="E200" s="35" t="s">
        <v>111</v>
      </c>
      <c r="F200" s="36" t="s">
        <v>112</v>
      </c>
      <c r="G200" s="37" t="s">
        <v>113</v>
      </c>
      <c r="H200" s="38" t="s">
        <v>114</v>
      </c>
      <c r="I200" s="35" t="s">
        <v>111</v>
      </c>
      <c r="J200" s="36" t="s">
        <v>112</v>
      </c>
      <c r="K200" s="37" t="s">
        <v>113</v>
      </c>
      <c r="L200" s="38" t="s">
        <v>114</v>
      </c>
      <c r="M200" s="34" t="s">
        <v>115</v>
      </c>
    </row>
    <row r="201" spans="1:18">
      <c r="A201" s="152" t="s">
        <v>55</v>
      </c>
      <c r="B201" s="30">
        <v>42095</v>
      </c>
      <c r="C201" s="18" t="s">
        <v>46</v>
      </c>
      <c r="D201" s="31"/>
      <c r="E201" s="31"/>
      <c r="F201" s="31"/>
      <c r="G201" s="31"/>
      <c r="H201" s="31"/>
      <c r="I201" s="31"/>
      <c r="J201" s="32"/>
      <c r="K201" s="18"/>
      <c r="L201" s="18"/>
      <c r="M201" s="54"/>
    </row>
    <row r="202" spans="1:18">
      <c r="A202" s="153"/>
      <c r="B202" s="22">
        <v>42096</v>
      </c>
      <c r="C202" s="1" t="s">
        <v>46</v>
      </c>
      <c r="D202" s="3">
        <v>9</v>
      </c>
      <c r="E202" s="3"/>
      <c r="F202" s="3"/>
      <c r="G202" s="3"/>
      <c r="H202" s="3"/>
      <c r="I202" s="3"/>
      <c r="J202" s="29"/>
      <c r="K202" s="1"/>
      <c r="L202" s="1"/>
      <c r="M202" s="54"/>
    </row>
    <row r="203" spans="1:18">
      <c r="A203" s="153"/>
      <c r="B203" s="22">
        <v>42097</v>
      </c>
      <c r="C203" s="1" t="s">
        <v>46</v>
      </c>
      <c r="D203" s="3">
        <v>9</v>
      </c>
      <c r="E203" s="3"/>
      <c r="F203" s="3"/>
      <c r="G203" s="3"/>
      <c r="H203" s="3"/>
      <c r="I203" s="3"/>
      <c r="J203" s="29"/>
      <c r="K203" s="1"/>
      <c r="L203" s="1"/>
      <c r="M203" s="54"/>
    </row>
    <row r="204" spans="1:18">
      <c r="A204" s="153"/>
      <c r="B204" s="22">
        <v>42098</v>
      </c>
      <c r="C204" s="1" t="s">
        <v>46</v>
      </c>
      <c r="D204" s="3">
        <v>9</v>
      </c>
      <c r="E204" s="3"/>
      <c r="F204" s="3"/>
      <c r="G204" s="3"/>
      <c r="H204" s="3"/>
      <c r="I204" s="3"/>
      <c r="J204" s="29"/>
      <c r="K204" s="1"/>
      <c r="L204" s="1"/>
      <c r="M204" s="54"/>
    </row>
    <row r="205" spans="1:18">
      <c r="A205" s="153"/>
      <c r="B205" s="22">
        <v>42099</v>
      </c>
      <c r="C205" s="1" t="s">
        <v>46</v>
      </c>
      <c r="D205" s="3">
        <v>9</v>
      </c>
      <c r="E205" s="3"/>
      <c r="F205" s="3"/>
      <c r="G205" s="3"/>
      <c r="H205" s="3"/>
      <c r="I205" s="3"/>
      <c r="J205" s="29"/>
      <c r="K205" s="1"/>
      <c r="L205" s="1"/>
      <c r="M205" s="54"/>
    </row>
    <row r="206" spans="1:18">
      <c r="A206" s="153"/>
      <c r="B206" s="22">
        <v>42100</v>
      </c>
      <c r="C206" s="1" t="s">
        <v>46</v>
      </c>
      <c r="D206" s="3">
        <v>9</v>
      </c>
      <c r="E206" s="3"/>
      <c r="F206" s="3"/>
      <c r="G206" s="3"/>
      <c r="H206" s="3"/>
      <c r="I206" s="3"/>
      <c r="J206" s="29"/>
      <c r="K206" s="1"/>
      <c r="L206" s="1"/>
      <c r="M206" s="54"/>
    </row>
    <row r="207" spans="1:18">
      <c r="A207" s="153"/>
      <c r="B207" s="22">
        <v>42101</v>
      </c>
      <c r="C207" s="1" t="s">
        <v>46</v>
      </c>
      <c r="D207" s="3"/>
      <c r="E207" s="3"/>
      <c r="F207" s="3"/>
      <c r="G207" s="3"/>
      <c r="H207" s="3"/>
      <c r="I207" s="3"/>
      <c r="J207" s="29"/>
      <c r="K207" s="1"/>
      <c r="L207" s="1"/>
      <c r="M207" s="54"/>
    </row>
    <row r="208" spans="1:18">
      <c r="A208" s="153"/>
      <c r="B208" s="22">
        <v>42102</v>
      </c>
      <c r="C208" s="1" t="s">
        <v>46</v>
      </c>
      <c r="D208" s="3"/>
      <c r="E208" s="3"/>
      <c r="F208" s="3"/>
      <c r="G208" s="3"/>
      <c r="H208" s="3"/>
      <c r="I208" s="3"/>
      <c r="J208" s="29"/>
      <c r="K208" s="1"/>
      <c r="L208" s="1"/>
      <c r="M208" s="54"/>
    </row>
    <row r="209" spans="1:13">
      <c r="A209" s="153"/>
      <c r="B209" s="22">
        <v>42103</v>
      </c>
      <c r="C209" s="1" t="s">
        <v>46</v>
      </c>
      <c r="D209" s="3"/>
      <c r="E209" s="3"/>
      <c r="F209" s="3"/>
      <c r="G209" s="3"/>
      <c r="H209" s="3"/>
      <c r="I209" s="3"/>
      <c r="J209" s="29"/>
      <c r="K209" s="1"/>
      <c r="L209" s="1"/>
      <c r="M209" s="54"/>
    </row>
    <row r="210" spans="1:13">
      <c r="A210" s="153"/>
      <c r="B210" s="22">
        <v>42104</v>
      </c>
      <c r="C210" s="1" t="s">
        <v>46</v>
      </c>
      <c r="D210" s="3">
        <v>9</v>
      </c>
      <c r="E210" s="3"/>
      <c r="F210" s="3"/>
      <c r="G210" s="3"/>
      <c r="H210" s="3"/>
      <c r="I210" s="3"/>
      <c r="J210" s="29"/>
      <c r="K210" s="1"/>
      <c r="L210" s="1"/>
      <c r="M210" s="54"/>
    </row>
    <row r="211" spans="1:13">
      <c r="A211" s="153"/>
      <c r="B211" s="22">
        <v>42105</v>
      </c>
      <c r="C211" s="1" t="s">
        <v>46</v>
      </c>
      <c r="D211" s="3">
        <v>9</v>
      </c>
      <c r="E211" s="3"/>
      <c r="F211" s="3"/>
      <c r="G211" s="3"/>
      <c r="H211" s="3"/>
      <c r="I211" s="3"/>
      <c r="J211" s="29"/>
      <c r="K211" s="1"/>
      <c r="L211" s="1"/>
      <c r="M211" s="54"/>
    </row>
    <row r="212" spans="1:13">
      <c r="A212" s="153"/>
      <c r="B212" s="22">
        <v>42106</v>
      </c>
      <c r="C212" s="1" t="s">
        <v>46</v>
      </c>
      <c r="D212" s="3">
        <v>9</v>
      </c>
      <c r="E212" s="3"/>
      <c r="F212" s="3"/>
      <c r="G212" s="3"/>
      <c r="H212" s="3"/>
      <c r="I212" s="3"/>
      <c r="J212" s="29"/>
      <c r="K212" s="1"/>
      <c r="L212" s="1"/>
      <c r="M212" s="54"/>
    </row>
    <row r="213" spans="1:13">
      <c r="A213" s="153"/>
      <c r="B213" s="22">
        <v>42107</v>
      </c>
      <c r="C213" s="1" t="s">
        <v>46</v>
      </c>
      <c r="D213" s="3">
        <v>9</v>
      </c>
      <c r="E213" s="3"/>
      <c r="F213" s="3"/>
      <c r="G213" s="3"/>
      <c r="H213" s="3"/>
      <c r="I213" s="3"/>
      <c r="J213" s="29"/>
      <c r="K213" s="1"/>
      <c r="L213" s="1"/>
      <c r="M213" s="54"/>
    </row>
    <row r="214" spans="1:13">
      <c r="A214" s="153"/>
      <c r="B214" s="22">
        <v>42108</v>
      </c>
      <c r="C214" s="1" t="s">
        <v>46</v>
      </c>
      <c r="D214" s="3"/>
      <c r="E214" s="3"/>
      <c r="F214" s="3"/>
      <c r="G214" s="3"/>
      <c r="H214" s="3"/>
      <c r="I214" s="3"/>
      <c r="J214" s="29"/>
      <c r="K214" s="1"/>
      <c r="L214" s="1"/>
      <c r="M214" s="54"/>
    </row>
    <row r="215" spans="1:13">
      <c r="A215" s="153"/>
      <c r="B215" s="22">
        <v>42109</v>
      </c>
      <c r="C215" s="1" t="s">
        <v>46</v>
      </c>
      <c r="D215" s="3"/>
      <c r="E215" s="3"/>
      <c r="F215" s="3"/>
      <c r="G215" s="3"/>
      <c r="H215" s="3"/>
      <c r="I215" s="3"/>
      <c r="J215" s="29"/>
      <c r="K215" s="1"/>
      <c r="L215" s="1"/>
      <c r="M215" s="54"/>
    </row>
    <row r="216" spans="1:13">
      <c r="A216" s="153"/>
      <c r="B216" s="22">
        <v>42110</v>
      </c>
      <c r="C216" s="1" t="s">
        <v>46</v>
      </c>
      <c r="D216" s="3">
        <v>9</v>
      </c>
      <c r="E216" s="3"/>
      <c r="F216" s="3"/>
      <c r="G216" s="3"/>
      <c r="H216" s="3"/>
      <c r="I216" s="3"/>
      <c r="J216" s="29"/>
      <c r="K216" s="1"/>
      <c r="L216" s="1"/>
      <c r="M216" s="54"/>
    </row>
    <row r="217" spans="1:13">
      <c r="A217" s="153"/>
      <c r="B217" s="22">
        <v>42111</v>
      </c>
      <c r="C217" s="1" t="s">
        <v>46</v>
      </c>
      <c r="D217" s="3">
        <v>9</v>
      </c>
      <c r="E217" s="3"/>
      <c r="F217" s="3"/>
      <c r="G217" s="3"/>
      <c r="H217" s="3"/>
      <c r="I217" s="3"/>
      <c r="J217" s="29"/>
      <c r="K217" s="1"/>
      <c r="L217" s="1"/>
      <c r="M217" s="54"/>
    </row>
    <row r="218" spans="1:13">
      <c r="A218" s="153"/>
      <c r="B218" s="22">
        <v>42112</v>
      </c>
      <c r="C218" s="1" t="s">
        <v>46</v>
      </c>
      <c r="D218" s="3">
        <v>9</v>
      </c>
      <c r="E218" s="3"/>
      <c r="F218" s="3"/>
      <c r="G218" s="3"/>
      <c r="H218" s="3"/>
      <c r="I218" s="3"/>
      <c r="J218" s="29"/>
      <c r="K218" s="1"/>
      <c r="L218" s="1"/>
      <c r="M218" s="54"/>
    </row>
    <row r="219" spans="1:13">
      <c r="A219" s="153"/>
      <c r="B219" s="22">
        <v>42113</v>
      </c>
      <c r="C219" s="1" t="s">
        <v>46</v>
      </c>
      <c r="D219" s="3">
        <v>9</v>
      </c>
      <c r="E219" s="3"/>
      <c r="F219" s="3"/>
      <c r="G219" s="3"/>
      <c r="H219" s="3"/>
      <c r="I219" s="3"/>
      <c r="J219" s="29"/>
      <c r="K219" s="1"/>
      <c r="L219" s="1"/>
      <c r="M219" s="54"/>
    </row>
    <row r="220" spans="1:13">
      <c r="A220" s="153"/>
      <c r="B220" s="22">
        <v>42114</v>
      </c>
      <c r="C220" s="1" t="s">
        <v>46</v>
      </c>
      <c r="D220" s="3">
        <v>9</v>
      </c>
      <c r="E220" s="3"/>
      <c r="F220" s="3"/>
      <c r="G220" s="3"/>
      <c r="H220" s="3"/>
      <c r="I220" s="3"/>
      <c r="J220" s="29"/>
      <c r="K220" s="1"/>
      <c r="L220" s="1"/>
      <c r="M220" s="54"/>
    </row>
    <row r="221" spans="1:13">
      <c r="A221" s="153"/>
      <c r="B221" s="22">
        <v>42115</v>
      </c>
      <c r="C221" s="1" t="s">
        <v>46</v>
      </c>
      <c r="D221" s="3"/>
      <c r="E221" s="3"/>
      <c r="F221" s="3"/>
      <c r="G221" s="3"/>
      <c r="H221" s="3"/>
      <c r="I221" s="3"/>
      <c r="J221" s="29"/>
      <c r="K221" s="1"/>
      <c r="L221" s="1"/>
      <c r="M221" s="54"/>
    </row>
    <row r="222" spans="1:13">
      <c r="A222" s="153"/>
      <c r="B222" s="22">
        <v>42116</v>
      </c>
      <c r="C222" s="1" t="s">
        <v>46</v>
      </c>
      <c r="D222" s="3"/>
      <c r="E222" s="3"/>
      <c r="F222" s="3"/>
      <c r="G222" s="3"/>
      <c r="H222" s="3"/>
      <c r="I222" s="3"/>
      <c r="J222" s="29"/>
      <c r="K222" s="1"/>
      <c r="L222" s="1"/>
      <c r="M222" s="54"/>
    </row>
    <row r="223" spans="1:13">
      <c r="A223" s="153"/>
      <c r="B223" s="22">
        <v>42117</v>
      </c>
      <c r="C223" s="1" t="s">
        <v>46</v>
      </c>
      <c r="D223" s="3">
        <v>9</v>
      </c>
      <c r="E223" s="3"/>
      <c r="F223" s="3"/>
      <c r="G223" s="3"/>
      <c r="H223" s="3"/>
      <c r="I223" s="3"/>
      <c r="J223" s="29"/>
      <c r="K223" s="1"/>
      <c r="L223" s="1"/>
      <c r="M223" s="54"/>
    </row>
    <row r="224" spans="1:13">
      <c r="A224" s="153"/>
      <c r="B224" s="22">
        <v>42118</v>
      </c>
      <c r="C224" s="1" t="s">
        <v>46</v>
      </c>
      <c r="D224" s="3">
        <v>9</v>
      </c>
      <c r="E224" s="3"/>
      <c r="F224" s="3"/>
      <c r="G224" s="3"/>
      <c r="H224" s="3"/>
      <c r="I224" s="3"/>
      <c r="J224" s="29"/>
      <c r="K224" s="1"/>
      <c r="L224" s="1"/>
      <c r="M224" s="54"/>
    </row>
    <row r="225" spans="1:18">
      <c r="A225" s="153"/>
      <c r="B225" s="22">
        <v>42119</v>
      </c>
      <c r="C225" s="1" t="s">
        <v>46</v>
      </c>
      <c r="D225" s="3">
        <v>9</v>
      </c>
      <c r="E225" s="3"/>
      <c r="F225" s="3"/>
      <c r="G225" s="3"/>
      <c r="H225" s="3"/>
      <c r="I225" s="3"/>
      <c r="J225" s="29"/>
      <c r="K225" s="1"/>
      <c r="L225" s="1"/>
      <c r="M225" s="54"/>
    </row>
    <row r="226" spans="1:18">
      <c r="A226" s="153"/>
      <c r="B226" s="22">
        <v>42120</v>
      </c>
      <c r="C226" s="1" t="s">
        <v>46</v>
      </c>
      <c r="D226" s="3">
        <v>9</v>
      </c>
      <c r="E226" s="3"/>
      <c r="F226" s="3"/>
      <c r="G226" s="3"/>
      <c r="H226" s="3"/>
      <c r="I226" s="3"/>
      <c r="J226" s="29"/>
      <c r="K226" s="1"/>
      <c r="L226" s="1"/>
      <c r="M226" s="54"/>
    </row>
    <row r="227" spans="1:18">
      <c r="A227" s="153"/>
      <c r="B227" s="22">
        <v>42121</v>
      </c>
      <c r="C227" s="1" t="s">
        <v>46</v>
      </c>
      <c r="D227" s="3">
        <v>9</v>
      </c>
      <c r="E227" s="3"/>
      <c r="F227" s="3"/>
      <c r="G227" s="3"/>
      <c r="H227" s="3"/>
      <c r="I227" s="3"/>
      <c r="J227" s="29"/>
      <c r="K227" s="1"/>
      <c r="L227" s="1"/>
      <c r="M227" s="54"/>
    </row>
    <row r="228" spans="1:18">
      <c r="A228" s="153"/>
      <c r="B228" s="22">
        <v>42122</v>
      </c>
      <c r="C228" s="1" t="s">
        <v>46</v>
      </c>
      <c r="D228" s="3"/>
      <c r="E228" s="3"/>
      <c r="F228" s="3"/>
      <c r="G228" s="3"/>
      <c r="H228" s="3"/>
      <c r="I228" s="3"/>
      <c r="J228" s="29"/>
      <c r="K228" s="1"/>
      <c r="L228" s="1"/>
      <c r="M228" s="54"/>
    </row>
    <row r="229" spans="1:18">
      <c r="A229" s="153"/>
      <c r="B229" s="22">
        <v>42123</v>
      </c>
      <c r="C229" s="1" t="s">
        <v>46</v>
      </c>
      <c r="D229" s="3"/>
      <c r="E229" s="3"/>
      <c r="F229" s="3"/>
      <c r="G229" s="3"/>
      <c r="H229" s="3"/>
      <c r="I229" s="3"/>
      <c r="J229" s="29"/>
      <c r="K229" s="1"/>
      <c r="L229" s="1"/>
      <c r="M229" s="54"/>
    </row>
    <row r="230" spans="1:18" ht="15.75" thickBot="1">
      <c r="A230" s="153"/>
      <c r="B230" s="23">
        <v>42124</v>
      </c>
      <c r="C230" s="1" t="s">
        <v>46</v>
      </c>
      <c r="D230" s="19">
        <v>9</v>
      </c>
      <c r="E230" s="3"/>
      <c r="F230" s="3"/>
      <c r="G230" s="3"/>
      <c r="H230" s="3"/>
      <c r="I230" s="3"/>
      <c r="J230" s="1"/>
      <c r="K230" s="1"/>
      <c r="L230" s="1"/>
      <c r="M230" s="54"/>
    </row>
    <row r="231" spans="1:18" ht="15.75" thickBot="1">
      <c r="A231" s="154"/>
      <c r="B231" s="24" t="s">
        <v>92</v>
      </c>
      <c r="C231" s="20"/>
      <c r="D231" s="21">
        <f>SUM(D201:D230)</f>
        <v>180</v>
      </c>
      <c r="E231"/>
      <c r="F231"/>
      <c r="G231"/>
      <c r="H231"/>
      <c r="I231"/>
    </row>
    <row r="232" spans="1:18" ht="15.75" thickBot="1">
      <c r="A232" s="149"/>
      <c r="B232" s="150"/>
      <c r="C232" s="150"/>
      <c r="D232" s="150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150"/>
      <c r="R232" s="151"/>
    </row>
  </sheetData>
  <mergeCells count="25">
    <mergeCell ref="E13:H13"/>
    <mergeCell ref="I13:L13"/>
    <mergeCell ref="C1:D1"/>
    <mergeCell ref="E50:H50"/>
    <mergeCell ref="I50:L50"/>
    <mergeCell ref="E87:H87"/>
    <mergeCell ref="I87:L87"/>
    <mergeCell ref="E125:H125"/>
    <mergeCell ref="I125:L125"/>
    <mergeCell ref="A15:A44"/>
    <mergeCell ref="A83:R83"/>
    <mergeCell ref="A46:R46"/>
    <mergeCell ref="A120:R120"/>
    <mergeCell ref="A52:A82"/>
    <mergeCell ref="A89:A119"/>
    <mergeCell ref="A232:R232"/>
    <mergeCell ref="A201:A231"/>
    <mergeCell ref="A164:A194"/>
    <mergeCell ref="A127:A157"/>
    <mergeCell ref="E199:H199"/>
    <mergeCell ref="I199:L199"/>
    <mergeCell ref="A158:R158"/>
    <mergeCell ref="A195:R195"/>
    <mergeCell ref="E162:H162"/>
    <mergeCell ref="I162:L162"/>
  </mergeCells>
  <conditionalFormatting sqref="C52:C81 C89:C118 C127:C156 C164:C193 C201:C230 C15:C44">
    <cfRule type="cellIs" dxfId="37" priority="29" operator="equal">
      <formula>"Leave"</formula>
    </cfRule>
    <cfRule type="cellIs" dxfId="36" priority="30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52:C81 C201:C230 C164:C193 C127:C156 C89:C118 C15:C44">
      <formula1>Tasks</formula1>
    </dataValidation>
  </dataValidations>
  <hyperlinks>
    <hyperlink ref="A4" location="B2B!A52" display="Prachi Joshi"/>
    <hyperlink ref="A5" location="B2B!A87" display="Chanda Ahuja"/>
    <hyperlink ref="A6" location="B2B!A122" display="Amrut Davane"/>
    <hyperlink ref="A7" location="B2B!A157" display="Madhuri Kala"/>
    <hyperlink ref="A8" location="B2B!A207" display="Bharti Tripathi"/>
    <hyperlink ref="A3" location="B2B!A21" display="Prasad Masurka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FFFF00"/>
  </sheetPr>
  <dimension ref="A1:AT271"/>
  <sheetViews>
    <sheetView topLeftCell="A4" zoomScale="90" zoomScaleNormal="90" workbookViewId="0">
      <selection activeCell="B16" sqref="B16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52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47</v>
      </c>
      <c r="C4" s="46" t="s">
        <v>38</v>
      </c>
      <c r="D4" s="46">
        <f>1/4</f>
        <v>0.25</v>
      </c>
      <c r="F4"/>
      <c r="G4"/>
      <c r="H4"/>
      <c r="I4"/>
    </row>
    <row r="5" spans="1:46">
      <c r="A5" s="57" t="s">
        <v>53</v>
      </c>
      <c r="C5" s="46" t="s">
        <v>39</v>
      </c>
      <c r="D5" s="53">
        <f>20/60</f>
        <v>0.33333333333333331</v>
      </c>
      <c r="F5"/>
      <c r="G5"/>
      <c r="H5"/>
      <c r="I5"/>
    </row>
    <row r="6" spans="1:46">
      <c r="A6" s="58" t="s">
        <v>51</v>
      </c>
      <c r="C6" s="46" t="s">
        <v>40</v>
      </c>
      <c r="D6" s="53">
        <f>25/60</f>
        <v>0.41666666666666669</v>
      </c>
      <c r="F6"/>
      <c r="G6"/>
      <c r="H6"/>
      <c r="I6"/>
    </row>
    <row r="7" spans="1:46">
      <c r="A7" s="59" t="s">
        <v>48</v>
      </c>
      <c r="C7" s="46" t="s">
        <v>41</v>
      </c>
      <c r="D7" s="46">
        <f>30/60</f>
        <v>0.5</v>
      </c>
      <c r="F7"/>
      <c r="G7"/>
      <c r="H7"/>
      <c r="I7"/>
    </row>
    <row r="8" spans="1:46">
      <c r="A8" s="60" t="s">
        <v>50</v>
      </c>
      <c r="C8" s="53" t="s">
        <v>42</v>
      </c>
      <c r="D8" s="53">
        <f>40/60</f>
        <v>0.66666666666666663</v>
      </c>
      <c r="F8"/>
      <c r="G8"/>
      <c r="H8"/>
      <c r="I8"/>
    </row>
    <row r="9" spans="1:46">
      <c r="A9" s="66" t="s">
        <v>49</v>
      </c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>
      <c r="B11"/>
      <c r="D11"/>
      <c r="E11"/>
      <c r="F11"/>
      <c r="G11"/>
      <c r="H11"/>
      <c r="I11"/>
    </row>
    <row r="12" spans="1:46" s="6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65" customFormat="1" ht="15.75" thickBo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34.5" customHeight="1" thickBot="1">
      <c r="E14" s="161" t="s">
        <v>110</v>
      </c>
      <c r="F14" s="162"/>
      <c r="G14" s="162"/>
      <c r="H14" s="163"/>
      <c r="I14" s="164" t="s">
        <v>116</v>
      </c>
      <c r="J14" s="165"/>
      <c r="K14" s="165"/>
      <c r="L14" s="166"/>
    </row>
    <row r="15" spans="1:46" ht="15.75" thickBot="1">
      <c r="A15" s="33" t="s">
        <v>91</v>
      </c>
      <c r="B15" s="33" t="s">
        <v>109</v>
      </c>
      <c r="C15" s="34" t="s">
        <v>11</v>
      </c>
      <c r="D15" s="34" t="s">
        <v>10</v>
      </c>
      <c r="E15" s="35" t="s">
        <v>111</v>
      </c>
      <c r="F15" s="36" t="s">
        <v>112</v>
      </c>
      <c r="G15" s="37" t="s">
        <v>113</v>
      </c>
      <c r="H15" s="38" t="s">
        <v>114</v>
      </c>
      <c r="I15" s="35" t="s">
        <v>111</v>
      </c>
      <c r="J15" s="36" t="s">
        <v>112</v>
      </c>
      <c r="K15" s="37" t="s">
        <v>113</v>
      </c>
      <c r="L15" s="38" t="s">
        <v>114</v>
      </c>
      <c r="M15" s="34" t="s">
        <v>115</v>
      </c>
    </row>
    <row r="16" spans="1:46">
      <c r="A16" s="167" t="s">
        <v>52</v>
      </c>
      <c r="B16" s="30">
        <v>42125</v>
      </c>
      <c r="C16" s="18" t="s">
        <v>46</v>
      </c>
      <c r="D16" s="31"/>
      <c r="E16" s="31"/>
      <c r="F16" s="31"/>
      <c r="G16" s="31"/>
      <c r="H16" s="31"/>
      <c r="I16" s="31"/>
      <c r="J16" s="32"/>
      <c r="K16" s="18"/>
      <c r="L16" s="18"/>
      <c r="M16" s="54"/>
    </row>
    <row r="17" spans="1:13">
      <c r="A17" s="167"/>
      <c r="B17" s="22">
        <v>42126</v>
      </c>
      <c r="C17" s="1" t="s">
        <v>46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30">
        <v>42127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22">
        <v>42128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30">
        <v>42129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22">
        <v>42130</v>
      </c>
      <c r="C21" s="1" t="s">
        <v>46</v>
      </c>
      <c r="D21" s="3">
        <v>9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30">
        <v>42131</v>
      </c>
      <c r="C22" s="1" t="s">
        <v>46</v>
      </c>
      <c r="D22" s="3"/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22">
        <v>42132</v>
      </c>
      <c r="C23" s="1" t="s">
        <v>46</v>
      </c>
      <c r="D23" s="3"/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30">
        <v>42133</v>
      </c>
      <c r="C24" s="1" t="s">
        <v>46</v>
      </c>
      <c r="D24" s="3">
        <v>9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22">
        <v>42134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30">
        <v>42135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22">
        <v>42136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30">
        <v>42137</v>
      </c>
      <c r="C28" s="1" t="s">
        <v>46</v>
      </c>
      <c r="D28" s="3">
        <v>9</v>
      </c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22">
        <v>42138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30">
        <v>42139</v>
      </c>
      <c r="C30" s="1" t="s">
        <v>46</v>
      </c>
      <c r="D30" s="3"/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22">
        <v>42140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30">
        <v>42141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22">
        <v>42142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30">
        <v>42143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22">
        <v>42144</v>
      </c>
      <c r="C35" s="1" t="s">
        <v>46</v>
      </c>
      <c r="D35" s="3">
        <v>9</v>
      </c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30">
        <v>42145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22">
        <v>42146</v>
      </c>
      <c r="C37" s="1" t="s">
        <v>46</v>
      </c>
      <c r="D37" s="3"/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30">
        <v>42147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22">
        <v>42148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30">
        <v>42149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22">
        <v>42150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30">
        <v>42151</v>
      </c>
      <c r="C42" s="1" t="s">
        <v>46</v>
      </c>
      <c r="D42" s="3">
        <v>9</v>
      </c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22">
        <v>42152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>
      <c r="A44" s="167"/>
      <c r="B44" s="30">
        <v>42153</v>
      </c>
      <c r="C44" s="1" t="s">
        <v>46</v>
      </c>
      <c r="D44" s="3"/>
      <c r="E44" s="3"/>
      <c r="F44" s="3"/>
      <c r="G44" s="3"/>
      <c r="H44" s="3"/>
      <c r="I44" s="3"/>
      <c r="J44" s="29"/>
      <c r="K44" s="1"/>
      <c r="L44" s="1"/>
      <c r="M44" s="54"/>
    </row>
    <row r="45" spans="1:18" ht="15.75" thickBot="1">
      <c r="A45" s="167"/>
      <c r="B45" s="22">
        <v>42154</v>
      </c>
      <c r="C45" s="1" t="s">
        <v>46</v>
      </c>
      <c r="D45" s="19">
        <v>9</v>
      </c>
      <c r="E45" s="3"/>
      <c r="F45" s="3"/>
      <c r="G45" s="3"/>
      <c r="H45" s="3"/>
      <c r="I45" s="3"/>
      <c r="J45" s="1"/>
      <c r="K45" s="1"/>
      <c r="L45" s="1"/>
      <c r="M45" s="54"/>
    </row>
    <row r="46" spans="1:18" ht="15.75" thickBot="1">
      <c r="A46" s="61"/>
      <c r="B46" s="62" t="s">
        <v>92</v>
      </c>
      <c r="C46" s="63"/>
      <c r="D46" s="64">
        <f>SUM(D16:D45)</f>
        <v>189</v>
      </c>
      <c r="E46"/>
      <c r="F46"/>
      <c r="G46"/>
      <c r="H46"/>
      <c r="I46"/>
    </row>
    <row r="47" spans="1:18" ht="15.75" thickBot="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>
      <c r="B48"/>
      <c r="D48"/>
      <c r="E48"/>
      <c r="F48"/>
      <c r="G48"/>
      <c r="H48"/>
      <c r="I48"/>
    </row>
    <row r="49" spans="1:13">
      <c r="B49"/>
      <c r="D49"/>
      <c r="E49"/>
      <c r="F49"/>
      <c r="G49"/>
      <c r="H49"/>
      <c r="I49"/>
    </row>
    <row r="50" spans="1:13" ht="15.75" thickBot="1">
      <c r="B50"/>
      <c r="D50"/>
      <c r="E50"/>
      <c r="F50"/>
      <c r="G50"/>
      <c r="H50"/>
      <c r="I50"/>
    </row>
    <row r="51" spans="1:13" ht="15.75" thickBot="1">
      <c r="E51" s="161" t="s">
        <v>110</v>
      </c>
      <c r="F51" s="162"/>
      <c r="G51" s="162"/>
      <c r="H51" s="163"/>
      <c r="I51" s="164" t="s">
        <v>116</v>
      </c>
      <c r="J51" s="165"/>
      <c r="K51" s="165"/>
      <c r="L51" s="166"/>
    </row>
    <row r="52" spans="1:13" ht="15.75" thickBot="1">
      <c r="A52" s="55" t="s">
        <v>91</v>
      </c>
      <c r="B52" s="33" t="s">
        <v>109</v>
      </c>
      <c r="C52" s="34" t="s">
        <v>11</v>
      </c>
      <c r="D52" s="34" t="s">
        <v>10</v>
      </c>
      <c r="E52" s="35" t="s">
        <v>111</v>
      </c>
      <c r="F52" s="36" t="s">
        <v>112</v>
      </c>
      <c r="G52" s="37" t="s">
        <v>113</v>
      </c>
      <c r="H52" s="38" t="s">
        <v>114</v>
      </c>
      <c r="I52" s="35" t="s">
        <v>111</v>
      </c>
      <c r="J52" s="36" t="s">
        <v>112</v>
      </c>
      <c r="K52" s="37" t="s">
        <v>113</v>
      </c>
      <c r="L52" s="38" t="s">
        <v>114</v>
      </c>
      <c r="M52" s="34" t="s">
        <v>115</v>
      </c>
    </row>
    <row r="53" spans="1:13">
      <c r="A53" s="168" t="s">
        <v>47</v>
      </c>
      <c r="B53" s="30">
        <v>42095</v>
      </c>
      <c r="C53" s="18" t="s">
        <v>46</v>
      </c>
      <c r="D53" s="31"/>
      <c r="E53" s="31"/>
      <c r="F53" s="31"/>
      <c r="G53" s="31"/>
      <c r="H53" s="31"/>
      <c r="I53" s="31"/>
      <c r="J53" s="32"/>
      <c r="K53" s="18"/>
      <c r="L53" s="18"/>
      <c r="M53" s="54"/>
    </row>
    <row r="54" spans="1:13">
      <c r="A54" s="169"/>
      <c r="B54" s="22">
        <v>42096</v>
      </c>
      <c r="C54" s="1" t="s">
        <v>46</v>
      </c>
      <c r="D54" s="3">
        <v>9</v>
      </c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22">
        <v>42097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42098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42099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42100</v>
      </c>
      <c r="C58" s="1" t="s">
        <v>46</v>
      </c>
      <c r="D58" s="3">
        <v>9</v>
      </c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42101</v>
      </c>
      <c r="C59" s="1" t="s">
        <v>46</v>
      </c>
      <c r="D59" s="3"/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42102</v>
      </c>
      <c r="C60" s="1" t="s">
        <v>46</v>
      </c>
      <c r="D60" s="3"/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42103</v>
      </c>
      <c r="C61" s="1" t="s">
        <v>46</v>
      </c>
      <c r="D61" s="3">
        <v>9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42104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42105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42106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42107</v>
      </c>
      <c r="C65" s="1" t="s">
        <v>46</v>
      </c>
      <c r="D65" s="3">
        <v>9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42108</v>
      </c>
      <c r="C66" s="1" t="s">
        <v>46</v>
      </c>
      <c r="D66" s="3"/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42109</v>
      </c>
      <c r="C67" s="1" t="s">
        <v>46</v>
      </c>
      <c r="D67" s="3"/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42110</v>
      </c>
      <c r="C68" s="1" t="s">
        <v>46</v>
      </c>
      <c r="D68" s="3">
        <v>9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42111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42112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42113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42114</v>
      </c>
      <c r="C72" s="1" t="s">
        <v>46</v>
      </c>
      <c r="D72" s="3">
        <v>9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42115</v>
      </c>
      <c r="C73" s="1" t="s">
        <v>46</v>
      </c>
      <c r="D73" s="3"/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42116</v>
      </c>
      <c r="C74" s="1" t="s">
        <v>46</v>
      </c>
      <c r="D74" s="3"/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42117</v>
      </c>
      <c r="C75" s="1" t="s">
        <v>46</v>
      </c>
      <c r="D75" s="3">
        <v>9</v>
      </c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42118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42119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42120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42121</v>
      </c>
      <c r="C79" s="1" t="s">
        <v>46</v>
      </c>
      <c r="D79" s="3">
        <v>9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42122</v>
      </c>
      <c r="C80" s="1" t="s">
        <v>46</v>
      </c>
      <c r="D80" s="3"/>
      <c r="E80" s="3"/>
      <c r="F80" s="3"/>
      <c r="G80" s="3"/>
      <c r="H80" s="3"/>
      <c r="I80" s="3"/>
      <c r="J80" s="29"/>
      <c r="K80" s="1"/>
      <c r="L80" s="1"/>
      <c r="M80" s="54"/>
    </row>
    <row r="81" spans="1:18">
      <c r="A81" s="169"/>
      <c r="B81" s="22">
        <v>42123</v>
      </c>
      <c r="C81" s="1" t="s">
        <v>46</v>
      </c>
      <c r="D81" s="3"/>
      <c r="E81" s="3"/>
      <c r="F81" s="3"/>
      <c r="G81" s="3"/>
      <c r="H81" s="3"/>
      <c r="I81" s="3"/>
      <c r="J81" s="29"/>
      <c r="K81" s="1"/>
      <c r="L81" s="1"/>
      <c r="M81" s="54"/>
    </row>
    <row r="82" spans="1:18" ht="15.75" thickBot="1">
      <c r="A82" s="169"/>
      <c r="B82" s="23">
        <v>42124</v>
      </c>
      <c r="C82" s="1" t="s">
        <v>46</v>
      </c>
      <c r="D82" s="19">
        <v>9</v>
      </c>
      <c r="E82" s="3"/>
      <c r="F82" s="3"/>
      <c r="G82" s="3"/>
      <c r="H82" s="3"/>
      <c r="I82" s="3"/>
      <c r="J82" s="1"/>
      <c r="K82" s="1"/>
      <c r="L82" s="1"/>
      <c r="M82" s="54"/>
    </row>
    <row r="83" spans="1:18" ht="15.75" thickBot="1">
      <c r="A83" s="170"/>
      <c r="B83" s="24" t="s">
        <v>92</v>
      </c>
      <c r="C83" s="20"/>
      <c r="D83" s="21">
        <f>SUM(D53:D82)</f>
        <v>189</v>
      </c>
      <c r="E83"/>
      <c r="F83"/>
      <c r="G83"/>
      <c r="H83"/>
      <c r="I83"/>
    </row>
    <row r="84" spans="1:18" ht="15.75" thickBot="1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1"/>
    </row>
    <row r="85" spans="1:18">
      <c r="B85"/>
      <c r="D85"/>
      <c r="E85"/>
      <c r="F85"/>
      <c r="G85"/>
      <c r="H85"/>
      <c r="I85"/>
    </row>
    <row r="86" spans="1:18">
      <c r="B86"/>
      <c r="D86"/>
      <c r="E86"/>
      <c r="F86"/>
      <c r="G86"/>
      <c r="H86"/>
      <c r="I86"/>
    </row>
    <row r="87" spans="1:18" ht="15.75" thickBot="1">
      <c r="B87"/>
      <c r="D87"/>
      <c r="E87"/>
      <c r="F87"/>
      <c r="G87"/>
      <c r="H87"/>
      <c r="I87"/>
    </row>
    <row r="88" spans="1:18" ht="15.75" thickBot="1">
      <c r="E88" s="161" t="s">
        <v>110</v>
      </c>
      <c r="F88" s="162"/>
      <c r="G88" s="162"/>
      <c r="H88" s="163"/>
      <c r="I88" s="164" t="s">
        <v>116</v>
      </c>
      <c r="J88" s="165"/>
      <c r="K88" s="165"/>
      <c r="L88" s="166"/>
    </row>
    <row r="89" spans="1:18" ht="15.75" thickBot="1">
      <c r="A89" s="55" t="s">
        <v>91</v>
      </c>
      <c r="B89" s="33" t="s">
        <v>109</v>
      </c>
      <c r="C89" s="34" t="s">
        <v>11</v>
      </c>
      <c r="D89" s="34" t="s">
        <v>10</v>
      </c>
      <c r="E89" s="35" t="s">
        <v>111</v>
      </c>
      <c r="F89" s="36" t="s">
        <v>112</v>
      </c>
      <c r="G89" s="37" t="s">
        <v>113</v>
      </c>
      <c r="H89" s="38" t="s">
        <v>114</v>
      </c>
      <c r="I89" s="35" t="s">
        <v>111</v>
      </c>
      <c r="J89" s="36" t="s">
        <v>112</v>
      </c>
      <c r="K89" s="37" t="s">
        <v>113</v>
      </c>
      <c r="L89" s="38" t="s">
        <v>114</v>
      </c>
      <c r="M89" s="34" t="s">
        <v>115</v>
      </c>
    </row>
    <row r="90" spans="1:18">
      <c r="A90" s="171" t="s">
        <v>53</v>
      </c>
      <c r="B90" s="30">
        <v>42095</v>
      </c>
      <c r="C90" s="18" t="s">
        <v>46</v>
      </c>
      <c r="D90" s="31"/>
      <c r="E90" s="31"/>
      <c r="F90" s="31"/>
      <c r="G90" s="31"/>
      <c r="H90" s="31"/>
      <c r="I90" s="31"/>
      <c r="J90" s="32"/>
      <c r="K90" s="18"/>
      <c r="L90" s="18"/>
      <c r="M90" s="54"/>
    </row>
    <row r="91" spans="1:18">
      <c r="A91" s="171"/>
      <c r="B91" s="22">
        <v>42096</v>
      </c>
      <c r="C91" s="1" t="s">
        <v>46</v>
      </c>
      <c r="D91" s="3">
        <v>9</v>
      </c>
      <c r="E91" s="3"/>
      <c r="F91" s="3"/>
      <c r="G91" s="3"/>
      <c r="H91" s="3"/>
      <c r="I91" s="3"/>
      <c r="J91" s="29"/>
      <c r="K91" s="1"/>
      <c r="L91" s="1"/>
      <c r="M91" s="54"/>
    </row>
    <row r="92" spans="1:18">
      <c r="A92" s="171"/>
      <c r="B92" s="22">
        <v>42097</v>
      </c>
      <c r="C92" s="1" t="s">
        <v>46</v>
      </c>
      <c r="D92" s="3">
        <v>9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8">
      <c r="A93" s="171"/>
      <c r="B93" s="22">
        <v>42098</v>
      </c>
      <c r="C93" s="1" t="s">
        <v>46</v>
      </c>
      <c r="D93" s="3">
        <v>9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8">
      <c r="A94" s="171"/>
      <c r="B94" s="22">
        <v>42099</v>
      </c>
      <c r="C94" s="1" t="s">
        <v>46</v>
      </c>
      <c r="D94" s="3">
        <v>9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8">
      <c r="A95" s="171"/>
      <c r="B95" s="22">
        <v>42100</v>
      </c>
      <c r="C95" s="1" t="s">
        <v>46</v>
      </c>
      <c r="D95" s="3">
        <v>9</v>
      </c>
      <c r="E95" s="3"/>
      <c r="F95" s="3"/>
      <c r="G95" s="3"/>
      <c r="H95" s="3"/>
      <c r="I95" s="3"/>
      <c r="J95" s="29"/>
      <c r="K95" s="1"/>
      <c r="L95" s="1"/>
      <c r="M95" s="54"/>
    </row>
    <row r="96" spans="1:18">
      <c r="A96" s="171"/>
      <c r="B96" s="22">
        <v>42101</v>
      </c>
      <c r="C96" s="1" t="s">
        <v>46</v>
      </c>
      <c r="D96" s="3"/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71"/>
      <c r="B97" s="22">
        <v>42102</v>
      </c>
      <c r="C97" s="1" t="s">
        <v>46</v>
      </c>
      <c r="D97" s="3"/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71"/>
      <c r="B98" s="22">
        <v>42103</v>
      </c>
      <c r="C98" s="1" t="s">
        <v>46</v>
      </c>
      <c r="D98" s="3">
        <v>9</v>
      </c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71"/>
      <c r="B99" s="22">
        <v>42104</v>
      </c>
      <c r="C99" s="1" t="s">
        <v>46</v>
      </c>
      <c r="D99" s="3">
        <v>9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71"/>
      <c r="B100" s="22">
        <v>42105</v>
      </c>
      <c r="C100" s="1" t="s">
        <v>46</v>
      </c>
      <c r="D100" s="3">
        <v>9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71"/>
      <c r="B101" s="22">
        <v>42106</v>
      </c>
      <c r="C101" s="1" t="s">
        <v>46</v>
      </c>
      <c r="D101" s="3">
        <v>9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71"/>
      <c r="B102" s="22">
        <v>42107</v>
      </c>
      <c r="C102" s="1" t="s">
        <v>46</v>
      </c>
      <c r="D102" s="3">
        <v>9</v>
      </c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71"/>
      <c r="B103" s="22">
        <v>42108</v>
      </c>
      <c r="C103" s="1" t="s">
        <v>46</v>
      </c>
      <c r="D103" s="3"/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71"/>
      <c r="B104" s="22">
        <v>42109</v>
      </c>
      <c r="C104" s="1" t="s">
        <v>46</v>
      </c>
      <c r="D104" s="3"/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71"/>
      <c r="B105" s="22">
        <v>42110</v>
      </c>
      <c r="C105" s="1" t="s">
        <v>46</v>
      </c>
      <c r="D105" s="3">
        <v>9</v>
      </c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71"/>
      <c r="B106" s="22">
        <v>42111</v>
      </c>
      <c r="C106" s="1" t="s">
        <v>46</v>
      </c>
      <c r="D106" s="3">
        <v>9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71"/>
      <c r="B107" s="22">
        <v>42112</v>
      </c>
      <c r="C107" s="1" t="s">
        <v>46</v>
      </c>
      <c r="D107" s="3">
        <v>9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71"/>
      <c r="B108" s="22">
        <v>42113</v>
      </c>
      <c r="C108" s="1" t="s">
        <v>46</v>
      </c>
      <c r="D108" s="3">
        <v>9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71"/>
      <c r="B109" s="22">
        <v>42114</v>
      </c>
      <c r="C109" s="1" t="s">
        <v>46</v>
      </c>
      <c r="D109" s="3">
        <v>9</v>
      </c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71"/>
      <c r="B110" s="22">
        <v>42115</v>
      </c>
      <c r="C110" s="1" t="s">
        <v>46</v>
      </c>
      <c r="D110" s="3"/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71"/>
      <c r="B111" s="22">
        <v>42116</v>
      </c>
      <c r="C111" s="1" t="s">
        <v>46</v>
      </c>
      <c r="D111" s="3"/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71"/>
      <c r="B112" s="22">
        <v>42117</v>
      </c>
      <c r="C112" s="1" t="s">
        <v>46</v>
      </c>
      <c r="D112" s="3">
        <v>9</v>
      </c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71"/>
      <c r="B113" s="22">
        <v>42118</v>
      </c>
      <c r="C113" s="1" t="s">
        <v>46</v>
      </c>
      <c r="D113" s="3">
        <v>9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71"/>
      <c r="B114" s="22">
        <v>42119</v>
      </c>
      <c r="C114" s="1" t="s">
        <v>46</v>
      </c>
      <c r="D114" s="3">
        <v>9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71"/>
      <c r="B115" s="22">
        <v>42120</v>
      </c>
      <c r="C115" s="1" t="s">
        <v>46</v>
      </c>
      <c r="D115" s="3">
        <v>9</v>
      </c>
      <c r="E115" s="3"/>
      <c r="F115" s="3"/>
      <c r="G115" s="3"/>
      <c r="H115" s="3"/>
      <c r="I115" s="3"/>
      <c r="J115" s="29"/>
      <c r="K115" s="1"/>
      <c r="L115" s="1"/>
      <c r="M115" s="54"/>
    </row>
    <row r="116" spans="1:18">
      <c r="A116" s="171"/>
      <c r="B116" s="22">
        <v>42121</v>
      </c>
      <c r="C116" s="1" t="s">
        <v>46</v>
      </c>
      <c r="D116" s="3">
        <v>9</v>
      </c>
      <c r="E116" s="3"/>
      <c r="F116" s="3"/>
      <c r="G116" s="3"/>
      <c r="H116" s="3"/>
      <c r="I116" s="3"/>
      <c r="J116" s="29"/>
      <c r="K116" s="1"/>
      <c r="L116" s="1"/>
      <c r="M116" s="54"/>
    </row>
    <row r="117" spans="1:18">
      <c r="A117" s="171"/>
      <c r="B117" s="22">
        <v>42122</v>
      </c>
      <c r="C117" s="1" t="s">
        <v>46</v>
      </c>
      <c r="D117" s="3"/>
      <c r="E117" s="3"/>
      <c r="F117" s="3"/>
      <c r="G117" s="3"/>
      <c r="H117" s="3"/>
      <c r="I117" s="3"/>
      <c r="J117" s="29"/>
      <c r="K117" s="1"/>
      <c r="L117" s="1"/>
      <c r="M117" s="54"/>
    </row>
    <row r="118" spans="1:18">
      <c r="A118" s="171"/>
      <c r="B118" s="22">
        <v>42123</v>
      </c>
      <c r="C118" s="1" t="s">
        <v>46</v>
      </c>
      <c r="D118" s="3"/>
      <c r="E118" s="3"/>
      <c r="F118" s="3"/>
      <c r="G118" s="3"/>
      <c r="H118" s="3"/>
      <c r="I118" s="3"/>
      <c r="J118" s="29"/>
      <c r="K118" s="1"/>
      <c r="L118" s="1"/>
      <c r="M118" s="54"/>
    </row>
    <row r="119" spans="1:18" ht="15.75" thickBot="1">
      <c r="A119" s="171"/>
      <c r="B119" s="23">
        <v>42124</v>
      </c>
      <c r="C119" s="1" t="s">
        <v>46</v>
      </c>
      <c r="D119" s="19">
        <v>9</v>
      </c>
      <c r="E119" s="3"/>
      <c r="F119" s="3"/>
      <c r="G119" s="3"/>
      <c r="H119" s="3"/>
      <c r="I119" s="3"/>
      <c r="J119" s="1"/>
      <c r="K119" s="1"/>
      <c r="L119" s="1"/>
      <c r="M119" s="54"/>
    </row>
    <row r="120" spans="1:18" ht="15.75" thickBot="1">
      <c r="A120" s="171"/>
      <c r="B120" s="24" t="s">
        <v>92</v>
      </c>
      <c r="C120" s="20"/>
      <c r="D120" s="21">
        <f>SUM(D90:D119)</f>
        <v>189</v>
      </c>
      <c r="E120"/>
      <c r="F120"/>
      <c r="G120"/>
      <c r="H120"/>
      <c r="I120"/>
    </row>
    <row r="121" spans="1:18" ht="15.75" thickBot="1">
      <c r="A121" s="149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1"/>
    </row>
    <row r="122" spans="1:18">
      <c r="B122"/>
      <c r="D122"/>
      <c r="E122"/>
      <c r="F122"/>
      <c r="G122"/>
      <c r="H122"/>
      <c r="I122"/>
    </row>
    <row r="123" spans="1:18">
      <c r="B123"/>
      <c r="D123"/>
      <c r="E123"/>
      <c r="F123"/>
      <c r="G123"/>
      <c r="H123"/>
      <c r="I123"/>
    </row>
    <row r="124" spans="1:18">
      <c r="B124"/>
      <c r="D124"/>
      <c r="E124"/>
      <c r="F124"/>
      <c r="G124"/>
      <c r="H124"/>
      <c r="I124"/>
    </row>
    <row r="125" spans="1:18" ht="15.75" thickBot="1">
      <c r="B125"/>
      <c r="D125"/>
      <c r="E125"/>
      <c r="F125"/>
      <c r="G125"/>
      <c r="H125"/>
      <c r="I125"/>
    </row>
    <row r="126" spans="1:18" ht="15.75" thickBot="1">
      <c r="E126" s="161" t="s">
        <v>110</v>
      </c>
      <c r="F126" s="162"/>
      <c r="G126" s="162"/>
      <c r="H126" s="163"/>
      <c r="I126" s="164" t="s">
        <v>116</v>
      </c>
      <c r="J126" s="165"/>
      <c r="K126" s="165"/>
      <c r="L126" s="166"/>
    </row>
    <row r="127" spans="1:18" ht="15.75" thickBot="1">
      <c r="A127" s="55" t="s">
        <v>91</v>
      </c>
      <c r="B127" s="33" t="s">
        <v>109</v>
      </c>
      <c r="C127" s="34" t="s">
        <v>11</v>
      </c>
      <c r="D127" s="34" t="s">
        <v>10</v>
      </c>
      <c r="E127" s="35" t="s">
        <v>111</v>
      </c>
      <c r="F127" s="36" t="s">
        <v>112</v>
      </c>
      <c r="G127" s="37" t="s">
        <v>113</v>
      </c>
      <c r="H127" s="38" t="s">
        <v>114</v>
      </c>
      <c r="I127" s="35" t="s">
        <v>111</v>
      </c>
      <c r="J127" s="36" t="s">
        <v>112</v>
      </c>
      <c r="K127" s="37" t="s">
        <v>113</v>
      </c>
      <c r="L127" s="38" t="s">
        <v>114</v>
      </c>
      <c r="M127" s="34" t="s">
        <v>115</v>
      </c>
    </row>
    <row r="128" spans="1:18">
      <c r="A128" s="158" t="s">
        <v>51</v>
      </c>
      <c r="B128" s="30">
        <v>42095</v>
      </c>
      <c r="C128" s="18" t="s">
        <v>46</v>
      </c>
      <c r="D128" s="31"/>
      <c r="E128" s="31"/>
      <c r="F128" s="31"/>
      <c r="G128" s="31"/>
      <c r="H128" s="31"/>
      <c r="I128" s="31"/>
      <c r="J128" s="32"/>
      <c r="K128" s="18"/>
      <c r="L128" s="18"/>
      <c r="M128" s="54"/>
    </row>
    <row r="129" spans="1:13">
      <c r="A129" s="159"/>
      <c r="B129" s="22">
        <v>42096</v>
      </c>
      <c r="C129" s="1" t="s">
        <v>46</v>
      </c>
      <c r="D129" s="3">
        <v>9</v>
      </c>
      <c r="E129" s="3"/>
      <c r="F129" s="3"/>
      <c r="G129" s="3"/>
      <c r="H129" s="3"/>
      <c r="I129" s="3"/>
      <c r="J129" s="29"/>
      <c r="K129" s="1"/>
      <c r="L129" s="1"/>
      <c r="M129" s="54"/>
    </row>
    <row r="130" spans="1:13">
      <c r="A130" s="159"/>
      <c r="B130" s="22">
        <v>42097</v>
      </c>
      <c r="C130" s="1" t="s">
        <v>46</v>
      </c>
      <c r="D130" s="3">
        <v>9</v>
      </c>
      <c r="E130" s="3"/>
      <c r="F130" s="3"/>
      <c r="G130" s="3"/>
      <c r="H130" s="3"/>
      <c r="I130" s="3"/>
      <c r="J130" s="29"/>
      <c r="K130" s="1"/>
      <c r="L130" s="1"/>
      <c r="M130" s="54"/>
    </row>
    <row r="131" spans="1:13">
      <c r="A131" s="159"/>
      <c r="B131" s="22">
        <v>42098</v>
      </c>
      <c r="C131" s="1" t="s">
        <v>46</v>
      </c>
      <c r="D131" s="3">
        <v>9</v>
      </c>
      <c r="E131" s="3"/>
      <c r="F131" s="3"/>
      <c r="G131" s="3"/>
      <c r="H131" s="3"/>
      <c r="I131" s="3"/>
      <c r="J131" s="29"/>
      <c r="K131" s="1"/>
      <c r="L131" s="1"/>
      <c r="M131" s="54"/>
    </row>
    <row r="132" spans="1:13">
      <c r="A132" s="159"/>
      <c r="B132" s="22">
        <v>42099</v>
      </c>
      <c r="C132" s="1" t="s">
        <v>46</v>
      </c>
      <c r="D132" s="3">
        <v>9</v>
      </c>
      <c r="E132" s="3"/>
      <c r="F132" s="3"/>
      <c r="G132" s="3"/>
      <c r="H132" s="3"/>
      <c r="I132" s="3"/>
      <c r="J132" s="29"/>
      <c r="K132" s="1"/>
      <c r="L132" s="1"/>
      <c r="M132" s="54"/>
    </row>
    <row r="133" spans="1:13">
      <c r="A133" s="159"/>
      <c r="B133" s="22">
        <v>42100</v>
      </c>
      <c r="C133" s="1" t="s">
        <v>46</v>
      </c>
      <c r="D133" s="3">
        <v>9</v>
      </c>
      <c r="E133" s="3"/>
      <c r="F133" s="3"/>
      <c r="G133" s="3"/>
      <c r="H133" s="3"/>
      <c r="I133" s="3"/>
      <c r="J133" s="29"/>
      <c r="K133" s="1"/>
      <c r="L133" s="1"/>
      <c r="M133" s="54"/>
    </row>
    <row r="134" spans="1:13">
      <c r="A134" s="159"/>
      <c r="B134" s="22">
        <v>42101</v>
      </c>
      <c r="C134" s="1" t="s">
        <v>46</v>
      </c>
      <c r="D134" s="3"/>
      <c r="E134" s="3"/>
      <c r="F134" s="3"/>
      <c r="G134" s="3"/>
      <c r="H134" s="3"/>
      <c r="I134" s="3"/>
      <c r="J134" s="29"/>
      <c r="K134" s="1"/>
      <c r="L134" s="1"/>
      <c r="M134" s="54"/>
    </row>
    <row r="135" spans="1:13">
      <c r="A135" s="159"/>
      <c r="B135" s="22">
        <v>42102</v>
      </c>
      <c r="C135" s="1" t="s">
        <v>46</v>
      </c>
      <c r="D135" s="3"/>
      <c r="E135" s="3"/>
      <c r="F135" s="3"/>
      <c r="G135" s="3"/>
      <c r="H135" s="3"/>
      <c r="I135" s="3"/>
      <c r="J135" s="29"/>
      <c r="K135" s="1"/>
      <c r="L135" s="1"/>
      <c r="M135" s="54"/>
    </row>
    <row r="136" spans="1:13">
      <c r="A136" s="159"/>
      <c r="B136" s="22">
        <v>42103</v>
      </c>
      <c r="C136" s="1" t="s">
        <v>46</v>
      </c>
      <c r="D136" s="3">
        <v>9</v>
      </c>
      <c r="E136" s="3"/>
      <c r="F136" s="3"/>
      <c r="G136" s="3"/>
      <c r="H136" s="3"/>
      <c r="I136" s="3"/>
      <c r="J136" s="29"/>
      <c r="K136" s="1"/>
      <c r="L136" s="1"/>
      <c r="M136" s="54"/>
    </row>
    <row r="137" spans="1:13">
      <c r="A137" s="159"/>
      <c r="B137" s="22">
        <v>42104</v>
      </c>
      <c r="C137" s="1" t="s">
        <v>46</v>
      </c>
      <c r="D137" s="3">
        <v>9</v>
      </c>
      <c r="E137" s="3"/>
      <c r="F137" s="3"/>
      <c r="G137" s="3"/>
      <c r="H137" s="3"/>
      <c r="I137" s="3"/>
      <c r="J137" s="29"/>
      <c r="K137" s="1"/>
      <c r="L137" s="1"/>
      <c r="M137" s="54"/>
    </row>
    <row r="138" spans="1:13">
      <c r="A138" s="159"/>
      <c r="B138" s="22">
        <v>42105</v>
      </c>
      <c r="C138" s="1" t="s">
        <v>46</v>
      </c>
      <c r="D138" s="3">
        <v>9</v>
      </c>
      <c r="E138" s="3"/>
      <c r="F138" s="3"/>
      <c r="G138" s="3"/>
      <c r="H138" s="3"/>
      <c r="I138" s="3"/>
      <c r="J138" s="29"/>
      <c r="K138" s="1"/>
      <c r="L138" s="1"/>
      <c r="M138" s="54"/>
    </row>
    <row r="139" spans="1:13">
      <c r="A139" s="159"/>
      <c r="B139" s="22">
        <v>42106</v>
      </c>
      <c r="C139" s="1" t="s">
        <v>46</v>
      </c>
      <c r="D139" s="3">
        <v>9</v>
      </c>
      <c r="E139" s="3"/>
      <c r="F139" s="3"/>
      <c r="G139" s="3"/>
      <c r="H139" s="3"/>
      <c r="I139" s="3"/>
      <c r="J139" s="29"/>
      <c r="K139" s="1"/>
      <c r="L139" s="1"/>
      <c r="M139" s="54"/>
    </row>
    <row r="140" spans="1:13">
      <c r="A140" s="159"/>
      <c r="B140" s="22">
        <v>42107</v>
      </c>
      <c r="C140" s="1" t="s">
        <v>46</v>
      </c>
      <c r="D140" s="3">
        <v>9</v>
      </c>
      <c r="E140" s="3"/>
      <c r="F140" s="3"/>
      <c r="G140" s="3"/>
      <c r="H140" s="3"/>
      <c r="I140" s="3"/>
      <c r="J140" s="29"/>
      <c r="K140" s="1"/>
      <c r="L140" s="1"/>
      <c r="M140" s="54"/>
    </row>
    <row r="141" spans="1:13">
      <c r="A141" s="159"/>
      <c r="B141" s="22">
        <v>42108</v>
      </c>
      <c r="C141" s="1" t="s">
        <v>46</v>
      </c>
      <c r="D141" s="3"/>
      <c r="E141" s="3"/>
      <c r="F141" s="3"/>
      <c r="G141" s="3"/>
      <c r="H141" s="3"/>
      <c r="I141" s="3"/>
      <c r="J141" s="29"/>
      <c r="K141" s="1"/>
      <c r="L141" s="1"/>
      <c r="M141" s="54"/>
    </row>
    <row r="142" spans="1:13">
      <c r="A142" s="159"/>
      <c r="B142" s="22">
        <v>42109</v>
      </c>
      <c r="C142" s="1" t="s">
        <v>46</v>
      </c>
      <c r="D142" s="3"/>
      <c r="E142" s="3"/>
      <c r="F142" s="3"/>
      <c r="G142" s="3"/>
      <c r="H142" s="3"/>
      <c r="I142" s="3"/>
      <c r="J142" s="29"/>
      <c r="K142" s="1"/>
      <c r="L142" s="1"/>
      <c r="M142" s="54"/>
    </row>
    <row r="143" spans="1:13">
      <c r="A143" s="159"/>
      <c r="B143" s="22">
        <v>42110</v>
      </c>
      <c r="C143" s="1" t="s">
        <v>46</v>
      </c>
      <c r="D143" s="3">
        <v>9</v>
      </c>
      <c r="E143" s="3"/>
      <c r="F143" s="3"/>
      <c r="G143" s="3"/>
      <c r="H143" s="3"/>
      <c r="I143" s="3"/>
      <c r="J143" s="29"/>
      <c r="K143" s="1"/>
      <c r="L143" s="1"/>
      <c r="M143" s="54"/>
    </row>
    <row r="144" spans="1:13">
      <c r="A144" s="159"/>
      <c r="B144" s="22">
        <v>42111</v>
      </c>
      <c r="C144" s="1" t="s">
        <v>46</v>
      </c>
      <c r="D144" s="3">
        <v>9</v>
      </c>
      <c r="E144" s="3"/>
      <c r="F144" s="3"/>
      <c r="G144" s="3"/>
      <c r="H144" s="3"/>
      <c r="I144" s="3"/>
      <c r="J144" s="29"/>
      <c r="K144" s="1"/>
      <c r="L144" s="1"/>
      <c r="M144" s="54"/>
    </row>
    <row r="145" spans="1:18">
      <c r="A145" s="159"/>
      <c r="B145" s="22">
        <v>42112</v>
      </c>
      <c r="C145" s="1" t="s">
        <v>46</v>
      </c>
      <c r="D145" s="3">
        <v>9</v>
      </c>
      <c r="E145" s="3"/>
      <c r="F145" s="3"/>
      <c r="G145" s="3"/>
      <c r="H145" s="3"/>
      <c r="I145" s="3"/>
      <c r="J145" s="29"/>
      <c r="K145" s="1"/>
      <c r="L145" s="1"/>
      <c r="M145" s="54"/>
    </row>
    <row r="146" spans="1:18">
      <c r="A146" s="159"/>
      <c r="B146" s="22">
        <v>42113</v>
      </c>
      <c r="C146" s="1" t="s">
        <v>46</v>
      </c>
      <c r="D146" s="3">
        <v>9</v>
      </c>
      <c r="E146" s="3"/>
      <c r="F146" s="3"/>
      <c r="G146" s="3"/>
      <c r="H146" s="3"/>
      <c r="I146" s="3"/>
      <c r="J146" s="29"/>
      <c r="K146" s="1"/>
      <c r="L146" s="1"/>
      <c r="M146" s="54"/>
    </row>
    <row r="147" spans="1:18">
      <c r="A147" s="159"/>
      <c r="B147" s="22">
        <v>42114</v>
      </c>
      <c r="C147" s="1" t="s">
        <v>46</v>
      </c>
      <c r="D147" s="3">
        <v>9</v>
      </c>
      <c r="E147" s="3"/>
      <c r="F147" s="3"/>
      <c r="G147" s="3"/>
      <c r="H147" s="3"/>
      <c r="I147" s="3"/>
      <c r="J147" s="29"/>
      <c r="K147" s="1"/>
      <c r="L147" s="1"/>
      <c r="M147" s="54"/>
    </row>
    <row r="148" spans="1:18">
      <c r="A148" s="159"/>
      <c r="B148" s="22">
        <v>42115</v>
      </c>
      <c r="C148" s="1" t="s">
        <v>46</v>
      </c>
      <c r="D148" s="3"/>
      <c r="E148" s="3"/>
      <c r="F148" s="3"/>
      <c r="G148" s="3"/>
      <c r="H148" s="3"/>
      <c r="I148" s="3"/>
      <c r="J148" s="29"/>
      <c r="K148" s="1"/>
      <c r="L148" s="1"/>
      <c r="M148" s="54"/>
    </row>
    <row r="149" spans="1:18">
      <c r="A149" s="159"/>
      <c r="B149" s="22">
        <v>42116</v>
      </c>
      <c r="C149" s="1" t="s">
        <v>46</v>
      </c>
      <c r="D149" s="3"/>
      <c r="E149" s="3"/>
      <c r="F149" s="3"/>
      <c r="G149" s="3"/>
      <c r="H149" s="3"/>
      <c r="I149" s="3"/>
      <c r="J149" s="29"/>
      <c r="K149" s="1"/>
      <c r="L149" s="1"/>
      <c r="M149" s="54"/>
    </row>
    <row r="150" spans="1:18">
      <c r="A150" s="159"/>
      <c r="B150" s="22">
        <v>42117</v>
      </c>
      <c r="C150" s="1" t="s">
        <v>46</v>
      </c>
      <c r="D150" s="3">
        <v>9</v>
      </c>
      <c r="E150" s="3"/>
      <c r="F150" s="3"/>
      <c r="G150" s="3"/>
      <c r="H150" s="3"/>
      <c r="I150" s="3"/>
      <c r="J150" s="29"/>
      <c r="K150" s="1"/>
      <c r="L150" s="1"/>
      <c r="M150" s="54"/>
    </row>
    <row r="151" spans="1:18">
      <c r="A151" s="159"/>
      <c r="B151" s="22">
        <v>42118</v>
      </c>
      <c r="C151" s="1" t="s">
        <v>46</v>
      </c>
      <c r="D151" s="3">
        <v>9</v>
      </c>
      <c r="E151" s="3"/>
      <c r="F151" s="3"/>
      <c r="G151" s="3"/>
      <c r="H151" s="3"/>
      <c r="I151" s="3"/>
      <c r="J151" s="29"/>
      <c r="K151" s="1"/>
      <c r="L151" s="1"/>
      <c r="M151" s="54"/>
    </row>
    <row r="152" spans="1:18">
      <c r="A152" s="159"/>
      <c r="B152" s="22">
        <v>42119</v>
      </c>
      <c r="C152" s="1" t="s">
        <v>46</v>
      </c>
      <c r="D152" s="3">
        <v>9</v>
      </c>
      <c r="E152" s="3"/>
      <c r="F152" s="3"/>
      <c r="G152" s="3"/>
      <c r="H152" s="3"/>
      <c r="I152" s="3"/>
      <c r="J152" s="29"/>
      <c r="K152" s="1"/>
      <c r="L152" s="1"/>
      <c r="M152" s="54"/>
    </row>
    <row r="153" spans="1:18">
      <c r="A153" s="159"/>
      <c r="B153" s="22">
        <v>42120</v>
      </c>
      <c r="C153" s="1" t="s">
        <v>46</v>
      </c>
      <c r="D153" s="3">
        <v>9</v>
      </c>
      <c r="E153" s="3"/>
      <c r="F153" s="3"/>
      <c r="G153" s="3"/>
      <c r="H153" s="3"/>
      <c r="I153" s="3"/>
      <c r="J153" s="29"/>
      <c r="K153" s="1"/>
      <c r="L153" s="1"/>
      <c r="M153" s="54"/>
    </row>
    <row r="154" spans="1:18">
      <c r="A154" s="159"/>
      <c r="B154" s="22">
        <v>42121</v>
      </c>
      <c r="C154" s="1" t="s">
        <v>46</v>
      </c>
      <c r="D154" s="3">
        <v>9</v>
      </c>
      <c r="E154" s="3"/>
      <c r="F154" s="3"/>
      <c r="G154" s="3"/>
      <c r="H154" s="3"/>
      <c r="I154" s="3"/>
      <c r="J154" s="29"/>
      <c r="K154" s="1"/>
      <c r="L154" s="1"/>
      <c r="M154" s="54"/>
    </row>
    <row r="155" spans="1:18">
      <c r="A155" s="159"/>
      <c r="B155" s="22">
        <v>42122</v>
      </c>
      <c r="C155" s="1" t="s">
        <v>46</v>
      </c>
      <c r="D155" s="3"/>
      <c r="E155" s="3"/>
      <c r="F155" s="3"/>
      <c r="G155" s="3"/>
      <c r="H155" s="3"/>
      <c r="I155" s="3"/>
      <c r="J155" s="29"/>
      <c r="K155" s="1"/>
      <c r="L155" s="1"/>
      <c r="M155" s="54"/>
    </row>
    <row r="156" spans="1:18">
      <c r="A156" s="159"/>
      <c r="B156" s="22">
        <v>42123</v>
      </c>
      <c r="C156" s="1" t="s">
        <v>46</v>
      </c>
      <c r="D156" s="3"/>
      <c r="E156" s="3"/>
      <c r="F156" s="3"/>
      <c r="G156" s="3"/>
      <c r="H156" s="3"/>
      <c r="I156" s="3"/>
      <c r="J156" s="29"/>
      <c r="K156" s="1"/>
      <c r="L156" s="1"/>
      <c r="M156" s="54"/>
    </row>
    <row r="157" spans="1:18" ht="15.75" thickBot="1">
      <c r="A157" s="159"/>
      <c r="B157" s="23">
        <v>42124</v>
      </c>
      <c r="C157" s="1" t="s">
        <v>46</v>
      </c>
      <c r="D157" s="19">
        <v>9</v>
      </c>
      <c r="E157" s="3"/>
      <c r="F157" s="3"/>
      <c r="G157" s="3"/>
      <c r="H157" s="3"/>
      <c r="I157" s="3"/>
      <c r="J157" s="1"/>
      <c r="K157" s="1"/>
      <c r="L157" s="1"/>
      <c r="M157" s="54"/>
    </row>
    <row r="158" spans="1:18" ht="15.75" thickBot="1">
      <c r="A158" s="160"/>
      <c r="B158" s="24" t="s">
        <v>92</v>
      </c>
      <c r="C158" s="20"/>
      <c r="D158" s="21">
        <f>SUM(D128:D157)</f>
        <v>189</v>
      </c>
      <c r="E158"/>
      <c r="F158"/>
      <c r="G158"/>
      <c r="H158"/>
      <c r="I158"/>
    </row>
    <row r="159" spans="1:18" ht="15.75" thickBot="1">
      <c r="A159" s="149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1"/>
    </row>
    <row r="160" spans="1:18">
      <c r="B160"/>
      <c r="D160"/>
      <c r="E160"/>
      <c r="F160"/>
      <c r="G160"/>
      <c r="H160"/>
      <c r="I160"/>
    </row>
    <row r="161" spans="1:13">
      <c r="B161"/>
      <c r="D161"/>
      <c r="E161"/>
      <c r="F161"/>
      <c r="G161"/>
      <c r="H161"/>
      <c r="I161"/>
    </row>
    <row r="162" spans="1:13" ht="15.75" thickBot="1">
      <c r="B162"/>
      <c r="D162"/>
      <c r="E162"/>
      <c r="F162"/>
      <c r="G162"/>
      <c r="H162"/>
      <c r="I162"/>
    </row>
    <row r="163" spans="1:13" ht="15.75" thickBot="1">
      <c r="E163" s="161" t="s">
        <v>110</v>
      </c>
      <c r="F163" s="162"/>
      <c r="G163" s="162"/>
      <c r="H163" s="163"/>
      <c r="I163" s="164" t="s">
        <v>116</v>
      </c>
      <c r="J163" s="165"/>
      <c r="K163" s="165"/>
      <c r="L163" s="166"/>
    </row>
    <row r="164" spans="1:13" ht="15.75" thickBot="1">
      <c r="A164" s="55" t="s">
        <v>91</v>
      </c>
      <c r="B164" s="33" t="s">
        <v>109</v>
      </c>
      <c r="C164" s="34" t="s">
        <v>11</v>
      </c>
      <c r="D164" s="34" t="s">
        <v>10</v>
      </c>
      <c r="E164" s="35" t="s">
        <v>111</v>
      </c>
      <c r="F164" s="36" t="s">
        <v>112</v>
      </c>
      <c r="G164" s="37" t="s">
        <v>113</v>
      </c>
      <c r="H164" s="38" t="s">
        <v>114</v>
      </c>
      <c r="I164" s="35" t="s">
        <v>111</v>
      </c>
      <c r="J164" s="36" t="s">
        <v>112</v>
      </c>
      <c r="K164" s="37" t="s">
        <v>113</v>
      </c>
      <c r="L164" s="38" t="s">
        <v>114</v>
      </c>
      <c r="M164" s="34" t="s">
        <v>115</v>
      </c>
    </row>
    <row r="165" spans="1:13">
      <c r="A165" s="155" t="s">
        <v>48</v>
      </c>
      <c r="B165" s="30">
        <v>42095</v>
      </c>
      <c r="C165" s="18" t="s">
        <v>46</v>
      </c>
      <c r="D165" s="31"/>
      <c r="E165" s="31"/>
      <c r="F165" s="31"/>
      <c r="G165" s="31"/>
      <c r="H165" s="31"/>
      <c r="I165" s="31"/>
      <c r="J165" s="32"/>
      <c r="K165" s="18"/>
      <c r="L165" s="18"/>
      <c r="M165" s="54"/>
    </row>
    <row r="166" spans="1:13">
      <c r="A166" s="156"/>
      <c r="B166" s="22">
        <v>42096</v>
      </c>
      <c r="C166" s="1" t="s">
        <v>46</v>
      </c>
      <c r="D166" s="3">
        <v>9</v>
      </c>
      <c r="E166" s="3"/>
      <c r="F166" s="3"/>
      <c r="G166" s="3"/>
      <c r="H166" s="3"/>
      <c r="I166" s="3"/>
      <c r="J166" s="29"/>
      <c r="K166" s="1"/>
      <c r="L166" s="1"/>
      <c r="M166" s="54"/>
    </row>
    <row r="167" spans="1:13">
      <c r="A167" s="156"/>
      <c r="B167" s="22">
        <v>42097</v>
      </c>
      <c r="C167" s="1" t="s">
        <v>46</v>
      </c>
      <c r="D167" s="3">
        <v>9</v>
      </c>
      <c r="E167" s="3"/>
      <c r="F167" s="3"/>
      <c r="G167" s="3"/>
      <c r="H167" s="3"/>
      <c r="I167" s="3"/>
      <c r="J167" s="29"/>
      <c r="K167" s="1"/>
      <c r="L167" s="1"/>
      <c r="M167" s="54"/>
    </row>
    <row r="168" spans="1:13">
      <c r="A168" s="156"/>
      <c r="B168" s="22">
        <v>42098</v>
      </c>
      <c r="C168" s="1" t="s">
        <v>46</v>
      </c>
      <c r="D168" s="3">
        <v>9</v>
      </c>
      <c r="E168" s="3"/>
      <c r="F168" s="3"/>
      <c r="G168" s="3"/>
      <c r="H168" s="3"/>
      <c r="I168" s="3"/>
      <c r="J168" s="29"/>
      <c r="K168" s="1"/>
      <c r="L168" s="1"/>
      <c r="M168" s="54"/>
    </row>
    <row r="169" spans="1:13">
      <c r="A169" s="156"/>
      <c r="B169" s="22">
        <v>42099</v>
      </c>
      <c r="C169" s="1" t="s">
        <v>46</v>
      </c>
      <c r="D169" s="3">
        <v>9</v>
      </c>
      <c r="E169" s="3"/>
      <c r="F169" s="3"/>
      <c r="G169" s="3"/>
      <c r="H169" s="3"/>
      <c r="I169" s="3"/>
      <c r="J169" s="29"/>
      <c r="K169" s="1"/>
      <c r="L169" s="1"/>
      <c r="M169" s="54"/>
    </row>
    <row r="170" spans="1:13">
      <c r="A170" s="156"/>
      <c r="B170" s="22">
        <v>42100</v>
      </c>
      <c r="C170" s="1" t="s">
        <v>46</v>
      </c>
      <c r="D170" s="3">
        <v>9</v>
      </c>
      <c r="E170" s="3"/>
      <c r="F170" s="3"/>
      <c r="G170" s="3"/>
      <c r="H170" s="3"/>
      <c r="I170" s="3"/>
      <c r="J170" s="29"/>
      <c r="K170" s="1"/>
      <c r="L170" s="1"/>
      <c r="M170" s="54"/>
    </row>
    <row r="171" spans="1:13">
      <c r="A171" s="156"/>
      <c r="B171" s="22">
        <v>42101</v>
      </c>
      <c r="C171" s="1" t="s">
        <v>46</v>
      </c>
      <c r="D171" s="3"/>
      <c r="E171" s="3"/>
      <c r="F171" s="3"/>
      <c r="G171" s="3"/>
      <c r="H171" s="3"/>
      <c r="I171" s="3"/>
      <c r="J171" s="29"/>
      <c r="K171" s="1"/>
      <c r="L171" s="1"/>
      <c r="M171" s="54"/>
    </row>
    <row r="172" spans="1:13">
      <c r="A172" s="156"/>
      <c r="B172" s="22">
        <v>42102</v>
      </c>
      <c r="C172" s="1" t="s">
        <v>46</v>
      </c>
      <c r="D172" s="3"/>
      <c r="E172" s="3"/>
      <c r="F172" s="3"/>
      <c r="G172" s="3"/>
      <c r="H172" s="3"/>
      <c r="I172" s="3"/>
      <c r="J172" s="29"/>
      <c r="K172" s="1"/>
      <c r="L172" s="1"/>
      <c r="M172" s="54"/>
    </row>
    <row r="173" spans="1:13">
      <c r="A173" s="156"/>
      <c r="B173" s="22">
        <v>42103</v>
      </c>
      <c r="C173" s="1" t="s">
        <v>46</v>
      </c>
      <c r="D173" s="3">
        <v>9</v>
      </c>
      <c r="E173" s="3"/>
      <c r="F173" s="3"/>
      <c r="G173" s="3"/>
      <c r="H173" s="3"/>
      <c r="I173" s="3"/>
      <c r="J173" s="29"/>
      <c r="K173" s="1"/>
      <c r="L173" s="1"/>
      <c r="M173" s="54"/>
    </row>
    <row r="174" spans="1:13">
      <c r="A174" s="156"/>
      <c r="B174" s="22">
        <v>42104</v>
      </c>
      <c r="C174" s="1" t="s">
        <v>46</v>
      </c>
      <c r="D174" s="3">
        <v>9</v>
      </c>
      <c r="E174" s="3"/>
      <c r="F174" s="3"/>
      <c r="G174" s="3"/>
      <c r="H174" s="3"/>
      <c r="I174" s="3"/>
      <c r="J174" s="29"/>
      <c r="K174" s="1"/>
      <c r="L174" s="1"/>
      <c r="M174" s="54"/>
    </row>
    <row r="175" spans="1:13">
      <c r="A175" s="156"/>
      <c r="B175" s="22">
        <v>42105</v>
      </c>
      <c r="C175" s="1" t="s">
        <v>46</v>
      </c>
      <c r="D175" s="3">
        <v>9</v>
      </c>
      <c r="E175" s="3"/>
      <c r="F175" s="3"/>
      <c r="G175" s="3"/>
      <c r="H175" s="3"/>
      <c r="I175" s="3"/>
      <c r="J175" s="29"/>
      <c r="K175" s="1"/>
      <c r="L175" s="1"/>
      <c r="M175" s="54"/>
    </row>
    <row r="176" spans="1:13">
      <c r="A176" s="156"/>
      <c r="B176" s="22">
        <v>42106</v>
      </c>
      <c r="C176" s="1" t="s">
        <v>46</v>
      </c>
      <c r="D176" s="3">
        <v>9</v>
      </c>
      <c r="E176" s="3"/>
      <c r="F176" s="3"/>
      <c r="G176" s="3"/>
      <c r="H176" s="3"/>
      <c r="I176" s="3"/>
      <c r="J176" s="29"/>
      <c r="K176" s="1"/>
      <c r="L176" s="1"/>
      <c r="M176" s="54"/>
    </row>
    <row r="177" spans="1:13">
      <c r="A177" s="156"/>
      <c r="B177" s="22">
        <v>42107</v>
      </c>
      <c r="C177" s="1" t="s">
        <v>46</v>
      </c>
      <c r="D177" s="3">
        <v>9</v>
      </c>
      <c r="E177" s="3"/>
      <c r="F177" s="3"/>
      <c r="G177" s="3"/>
      <c r="H177" s="3"/>
      <c r="I177" s="3"/>
      <c r="J177" s="29"/>
      <c r="K177" s="1"/>
      <c r="L177" s="1"/>
      <c r="M177" s="54"/>
    </row>
    <row r="178" spans="1:13">
      <c r="A178" s="156"/>
      <c r="B178" s="22">
        <v>42108</v>
      </c>
      <c r="C178" s="1" t="s">
        <v>46</v>
      </c>
      <c r="D178" s="3"/>
      <c r="E178" s="3"/>
      <c r="F178" s="3"/>
      <c r="G178" s="3"/>
      <c r="H178" s="3"/>
      <c r="I178" s="3"/>
      <c r="J178" s="29"/>
      <c r="K178" s="1"/>
      <c r="L178" s="1"/>
      <c r="M178" s="54"/>
    </row>
    <row r="179" spans="1:13">
      <c r="A179" s="156"/>
      <c r="B179" s="22">
        <v>42109</v>
      </c>
      <c r="C179" s="1" t="s">
        <v>46</v>
      </c>
      <c r="D179" s="3"/>
      <c r="E179" s="3"/>
      <c r="F179" s="3"/>
      <c r="G179" s="3"/>
      <c r="H179" s="3"/>
      <c r="I179" s="3"/>
      <c r="J179" s="29"/>
      <c r="K179" s="1"/>
      <c r="L179" s="1"/>
      <c r="M179" s="54"/>
    </row>
    <row r="180" spans="1:13">
      <c r="A180" s="156"/>
      <c r="B180" s="22">
        <v>42110</v>
      </c>
      <c r="C180" s="1" t="s">
        <v>46</v>
      </c>
      <c r="D180" s="3">
        <v>9</v>
      </c>
      <c r="E180" s="3"/>
      <c r="F180" s="3"/>
      <c r="G180" s="3"/>
      <c r="H180" s="3"/>
      <c r="I180" s="3"/>
      <c r="J180" s="29"/>
      <c r="K180" s="1"/>
      <c r="L180" s="1"/>
      <c r="M180" s="54"/>
    </row>
    <row r="181" spans="1:13">
      <c r="A181" s="156"/>
      <c r="B181" s="22">
        <v>42111</v>
      </c>
      <c r="C181" s="1" t="s">
        <v>46</v>
      </c>
      <c r="D181" s="3">
        <v>9</v>
      </c>
      <c r="E181" s="3"/>
      <c r="F181" s="3"/>
      <c r="G181" s="3"/>
      <c r="H181" s="3"/>
      <c r="I181" s="3"/>
      <c r="J181" s="29"/>
      <c r="K181" s="1"/>
      <c r="L181" s="1"/>
      <c r="M181" s="54"/>
    </row>
    <row r="182" spans="1:13">
      <c r="A182" s="156"/>
      <c r="B182" s="22">
        <v>42112</v>
      </c>
      <c r="C182" s="1" t="s">
        <v>46</v>
      </c>
      <c r="D182" s="3">
        <v>9</v>
      </c>
      <c r="E182" s="3"/>
      <c r="F182" s="3"/>
      <c r="G182" s="3"/>
      <c r="H182" s="3"/>
      <c r="I182" s="3"/>
      <c r="J182" s="29"/>
      <c r="K182" s="1"/>
      <c r="L182" s="1"/>
      <c r="M182" s="54"/>
    </row>
    <row r="183" spans="1:13">
      <c r="A183" s="156"/>
      <c r="B183" s="22">
        <v>42113</v>
      </c>
      <c r="C183" s="1" t="s">
        <v>46</v>
      </c>
      <c r="D183" s="3">
        <v>9</v>
      </c>
      <c r="E183" s="3"/>
      <c r="F183" s="3"/>
      <c r="G183" s="3"/>
      <c r="H183" s="3"/>
      <c r="I183" s="3"/>
      <c r="J183" s="29"/>
      <c r="K183" s="1"/>
      <c r="L183" s="1"/>
      <c r="M183" s="54"/>
    </row>
    <row r="184" spans="1:13">
      <c r="A184" s="156"/>
      <c r="B184" s="22">
        <v>42114</v>
      </c>
      <c r="C184" s="1" t="s">
        <v>46</v>
      </c>
      <c r="D184" s="3">
        <v>9</v>
      </c>
      <c r="E184" s="3"/>
      <c r="F184" s="3"/>
      <c r="G184" s="3"/>
      <c r="H184" s="3"/>
      <c r="I184" s="3"/>
      <c r="J184" s="29"/>
      <c r="K184" s="1"/>
      <c r="L184" s="1"/>
      <c r="M184" s="54"/>
    </row>
    <row r="185" spans="1:13">
      <c r="A185" s="156"/>
      <c r="B185" s="22">
        <v>42115</v>
      </c>
      <c r="C185" s="1" t="s">
        <v>46</v>
      </c>
      <c r="D185" s="3"/>
      <c r="E185" s="3"/>
      <c r="F185" s="3"/>
      <c r="G185" s="3"/>
      <c r="H185" s="3"/>
      <c r="I185" s="3"/>
      <c r="J185" s="29"/>
      <c r="K185" s="1"/>
      <c r="L185" s="1"/>
      <c r="M185" s="54"/>
    </row>
    <row r="186" spans="1:13">
      <c r="A186" s="156"/>
      <c r="B186" s="22">
        <v>42116</v>
      </c>
      <c r="C186" s="1" t="s">
        <v>46</v>
      </c>
      <c r="D186" s="3">
        <v>7</v>
      </c>
      <c r="E186" s="3"/>
      <c r="F186" s="3"/>
      <c r="G186" s="3"/>
      <c r="H186" s="3"/>
      <c r="I186" s="3"/>
      <c r="J186" s="29"/>
      <c r="K186" s="1"/>
      <c r="L186" s="1"/>
      <c r="M186" s="54"/>
    </row>
    <row r="187" spans="1:13">
      <c r="A187" s="156"/>
      <c r="B187" s="22">
        <v>42117</v>
      </c>
      <c r="C187" s="1" t="s">
        <v>46</v>
      </c>
      <c r="D187" s="3">
        <v>9</v>
      </c>
      <c r="E187" s="3"/>
      <c r="F187" s="3"/>
      <c r="G187" s="3"/>
      <c r="H187" s="3"/>
      <c r="I187" s="3"/>
      <c r="J187" s="29"/>
      <c r="K187" s="1"/>
      <c r="L187" s="1"/>
      <c r="M187" s="54"/>
    </row>
    <row r="188" spans="1:13">
      <c r="A188" s="156"/>
      <c r="B188" s="22">
        <v>42118</v>
      </c>
      <c r="C188" s="1" t="s">
        <v>46</v>
      </c>
      <c r="D188" s="3">
        <v>9</v>
      </c>
      <c r="E188" s="3"/>
      <c r="F188" s="3"/>
      <c r="G188" s="3"/>
      <c r="H188" s="3"/>
      <c r="I188" s="3"/>
      <c r="J188" s="29"/>
      <c r="K188" s="1"/>
      <c r="L188" s="1"/>
      <c r="M188" s="54"/>
    </row>
    <row r="189" spans="1:13">
      <c r="A189" s="156"/>
      <c r="B189" s="22">
        <v>42119</v>
      </c>
      <c r="C189" s="1" t="s">
        <v>46</v>
      </c>
      <c r="D189" s="3">
        <v>9</v>
      </c>
      <c r="E189" s="3"/>
      <c r="F189" s="3"/>
      <c r="G189" s="3"/>
      <c r="H189" s="3"/>
      <c r="I189" s="3"/>
      <c r="J189" s="29"/>
      <c r="K189" s="1"/>
      <c r="L189" s="1"/>
      <c r="M189" s="54"/>
    </row>
    <row r="190" spans="1:13">
      <c r="A190" s="156"/>
      <c r="B190" s="22">
        <v>42120</v>
      </c>
      <c r="C190" s="1" t="s">
        <v>46</v>
      </c>
      <c r="D190" s="3">
        <v>9</v>
      </c>
      <c r="E190" s="3"/>
      <c r="F190" s="3"/>
      <c r="G190" s="3"/>
      <c r="H190" s="3"/>
      <c r="I190" s="3"/>
      <c r="J190" s="29"/>
      <c r="K190" s="1"/>
      <c r="L190" s="1"/>
      <c r="M190" s="54"/>
    </row>
    <row r="191" spans="1:13">
      <c r="A191" s="156"/>
      <c r="B191" s="22">
        <v>42121</v>
      </c>
      <c r="C191" s="1" t="s">
        <v>46</v>
      </c>
      <c r="D191" s="3">
        <v>9</v>
      </c>
      <c r="E191" s="3"/>
      <c r="F191" s="3"/>
      <c r="G191" s="3"/>
      <c r="H191" s="3"/>
      <c r="I191" s="3"/>
      <c r="J191" s="29"/>
      <c r="K191" s="1"/>
      <c r="L191" s="1"/>
      <c r="M191" s="54"/>
    </row>
    <row r="192" spans="1:13">
      <c r="A192" s="156"/>
      <c r="B192" s="22">
        <v>42122</v>
      </c>
      <c r="C192" s="1" t="s">
        <v>46</v>
      </c>
      <c r="D192" s="3"/>
      <c r="E192" s="3"/>
      <c r="F192" s="3"/>
      <c r="G192" s="3"/>
      <c r="H192" s="3"/>
      <c r="I192" s="3"/>
      <c r="J192" s="29"/>
      <c r="K192" s="1"/>
      <c r="L192" s="1"/>
      <c r="M192" s="54"/>
    </row>
    <row r="193" spans="1:18">
      <c r="A193" s="156"/>
      <c r="B193" s="22">
        <v>42123</v>
      </c>
      <c r="C193" s="1" t="s">
        <v>46</v>
      </c>
      <c r="D193" s="3"/>
      <c r="E193" s="3"/>
      <c r="F193" s="3"/>
      <c r="G193" s="3"/>
      <c r="H193" s="3"/>
      <c r="I193" s="3"/>
      <c r="J193" s="29"/>
      <c r="K193" s="1"/>
      <c r="L193" s="1"/>
      <c r="M193" s="54"/>
    </row>
    <row r="194" spans="1:18" ht="15.75" thickBot="1">
      <c r="A194" s="156"/>
      <c r="B194" s="23">
        <v>42124</v>
      </c>
      <c r="C194" s="1" t="s">
        <v>46</v>
      </c>
      <c r="D194" s="19">
        <v>9</v>
      </c>
      <c r="E194" s="3"/>
      <c r="F194" s="3"/>
      <c r="G194" s="3"/>
      <c r="H194" s="3"/>
      <c r="I194" s="3"/>
      <c r="J194" s="1"/>
      <c r="K194" s="1"/>
      <c r="L194" s="1"/>
      <c r="M194" s="54"/>
    </row>
    <row r="195" spans="1:18" ht="15.75" thickBot="1">
      <c r="A195" s="157"/>
      <c r="B195" s="24" t="s">
        <v>92</v>
      </c>
      <c r="C195" s="20"/>
      <c r="D195" s="21">
        <f>SUM(D165:D194)</f>
        <v>196</v>
      </c>
      <c r="E195"/>
      <c r="F195"/>
      <c r="G195"/>
      <c r="H195"/>
      <c r="I195"/>
    </row>
    <row r="196" spans="1:18" ht="15.75" thickBot="1">
      <c r="A196" s="149"/>
      <c r="B196" s="150"/>
      <c r="C196" s="150"/>
      <c r="D196" s="150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150"/>
      <c r="R196" s="151"/>
    </row>
    <row r="197" spans="1:18">
      <c r="B197"/>
      <c r="D197"/>
      <c r="E197"/>
      <c r="F197"/>
      <c r="G197"/>
      <c r="H197"/>
      <c r="I197"/>
    </row>
    <row r="198" spans="1:18">
      <c r="B198"/>
      <c r="D198"/>
      <c r="E198"/>
      <c r="F198"/>
      <c r="G198"/>
      <c r="H198"/>
      <c r="I198"/>
    </row>
    <row r="199" spans="1:18" ht="15.75" thickBot="1"/>
    <row r="200" spans="1:18" ht="15.75" thickBot="1">
      <c r="E200" s="161" t="s">
        <v>110</v>
      </c>
      <c r="F200" s="162"/>
      <c r="G200" s="162"/>
      <c r="H200" s="163"/>
      <c r="I200" s="164" t="s">
        <v>116</v>
      </c>
      <c r="J200" s="165"/>
      <c r="K200" s="165"/>
      <c r="L200" s="166"/>
    </row>
    <row r="201" spans="1:18" ht="15.75" thickBot="1">
      <c r="A201" s="55" t="s">
        <v>91</v>
      </c>
      <c r="B201" s="33" t="s">
        <v>109</v>
      </c>
      <c r="C201" s="34" t="s">
        <v>11</v>
      </c>
      <c r="D201" s="34" t="s">
        <v>10</v>
      </c>
      <c r="E201" s="35" t="s">
        <v>111</v>
      </c>
      <c r="F201" s="36" t="s">
        <v>112</v>
      </c>
      <c r="G201" s="37" t="s">
        <v>113</v>
      </c>
      <c r="H201" s="38" t="s">
        <v>114</v>
      </c>
      <c r="I201" s="35" t="s">
        <v>111</v>
      </c>
      <c r="J201" s="36" t="s">
        <v>112</v>
      </c>
      <c r="K201" s="37" t="s">
        <v>113</v>
      </c>
      <c r="L201" s="38" t="s">
        <v>114</v>
      </c>
      <c r="M201" s="34" t="s">
        <v>115</v>
      </c>
    </row>
    <row r="202" spans="1:18">
      <c r="A202" s="152" t="s">
        <v>50</v>
      </c>
      <c r="B202" s="30">
        <v>42095</v>
      </c>
      <c r="C202" s="18" t="s">
        <v>46</v>
      </c>
      <c r="D202" s="31"/>
      <c r="E202" s="31"/>
      <c r="F202" s="31"/>
      <c r="G202" s="31"/>
      <c r="H202" s="31"/>
      <c r="I202" s="31"/>
      <c r="J202" s="32"/>
      <c r="K202" s="18"/>
      <c r="L202" s="18"/>
      <c r="M202" s="54"/>
    </row>
    <row r="203" spans="1:18">
      <c r="A203" s="153"/>
      <c r="B203" s="22">
        <v>42096</v>
      </c>
      <c r="C203" s="1" t="s">
        <v>46</v>
      </c>
      <c r="D203" s="3">
        <v>9</v>
      </c>
      <c r="E203" s="3"/>
      <c r="F203" s="3"/>
      <c r="G203" s="3"/>
      <c r="H203" s="3"/>
      <c r="I203" s="3"/>
      <c r="J203" s="29"/>
      <c r="K203" s="1"/>
      <c r="L203" s="1"/>
      <c r="M203" s="54"/>
    </row>
    <row r="204" spans="1:18">
      <c r="A204" s="153"/>
      <c r="B204" s="22">
        <v>42097</v>
      </c>
      <c r="C204" s="1" t="s">
        <v>46</v>
      </c>
      <c r="D204" s="3">
        <v>9</v>
      </c>
      <c r="E204" s="3"/>
      <c r="F204" s="3"/>
      <c r="G204" s="3"/>
      <c r="H204" s="3"/>
      <c r="I204" s="3"/>
      <c r="J204" s="29"/>
      <c r="K204" s="1"/>
      <c r="L204" s="1"/>
      <c r="M204" s="54"/>
    </row>
    <row r="205" spans="1:18">
      <c r="A205" s="153"/>
      <c r="B205" s="22">
        <v>42098</v>
      </c>
      <c r="C205" s="1" t="s">
        <v>46</v>
      </c>
      <c r="D205" s="3">
        <v>9</v>
      </c>
      <c r="E205" s="3"/>
      <c r="F205" s="3"/>
      <c r="G205" s="3"/>
      <c r="H205" s="3"/>
      <c r="I205" s="3"/>
      <c r="J205" s="29"/>
      <c r="K205" s="1"/>
      <c r="L205" s="1"/>
      <c r="M205" s="54"/>
    </row>
    <row r="206" spans="1:18">
      <c r="A206" s="153"/>
      <c r="B206" s="22">
        <v>42099</v>
      </c>
      <c r="C206" s="1" t="s">
        <v>46</v>
      </c>
      <c r="D206" s="3">
        <v>9</v>
      </c>
      <c r="E206" s="3"/>
      <c r="F206" s="3"/>
      <c r="G206" s="3"/>
      <c r="H206" s="3"/>
      <c r="I206" s="3"/>
      <c r="J206" s="29"/>
      <c r="K206" s="1"/>
      <c r="L206" s="1"/>
      <c r="M206" s="54"/>
    </row>
    <row r="207" spans="1:18">
      <c r="A207" s="153"/>
      <c r="B207" s="22">
        <v>42100</v>
      </c>
      <c r="C207" s="1" t="s">
        <v>46</v>
      </c>
      <c r="D207" s="3">
        <v>9</v>
      </c>
      <c r="E207" s="3"/>
      <c r="F207" s="3"/>
      <c r="G207" s="3"/>
      <c r="H207" s="3"/>
      <c r="I207" s="3"/>
      <c r="J207" s="29"/>
      <c r="K207" s="1"/>
      <c r="L207" s="1"/>
      <c r="M207" s="54"/>
    </row>
    <row r="208" spans="1:18">
      <c r="A208" s="153"/>
      <c r="B208" s="22">
        <v>42101</v>
      </c>
      <c r="C208" s="1" t="s">
        <v>46</v>
      </c>
      <c r="D208" s="3"/>
      <c r="E208" s="3"/>
      <c r="F208" s="3"/>
      <c r="G208" s="3"/>
      <c r="H208" s="3"/>
      <c r="I208" s="3"/>
      <c r="J208" s="29"/>
      <c r="K208" s="1"/>
      <c r="L208" s="1"/>
      <c r="M208" s="54"/>
    </row>
    <row r="209" spans="1:13">
      <c r="A209" s="153"/>
      <c r="B209" s="22">
        <v>42102</v>
      </c>
      <c r="C209" s="1" t="s">
        <v>46</v>
      </c>
      <c r="D209" s="3"/>
      <c r="E209" s="3"/>
      <c r="F209" s="3"/>
      <c r="G209" s="3"/>
      <c r="H209" s="3"/>
      <c r="I209" s="3"/>
      <c r="J209" s="29"/>
      <c r="K209" s="1"/>
      <c r="L209" s="1"/>
      <c r="M209" s="54"/>
    </row>
    <row r="210" spans="1:13">
      <c r="A210" s="153"/>
      <c r="B210" s="22">
        <v>42103</v>
      </c>
      <c r="C210" s="1" t="s">
        <v>46</v>
      </c>
      <c r="D210" s="3"/>
      <c r="E210" s="3"/>
      <c r="F210" s="3"/>
      <c r="G210" s="3"/>
      <c r="H210" s="3"/>
      <c r="I210" s="3"/>
      <c r="J210" s="29"/>
      <c r="K210" s="1"/>
      <c r="L210" s="1"/>
      <c r="M210" s="54"/>
    </row>
    <row r="211" spans="1:13">
      <c r="A211" s="153"/>
      <c r="B211" s="22">
        <v>42104</v>
      </c>
      <c r="C211" s="1" t="s">
        <v>46</v>
      </c>
      <c r="D211" s="3">
        <v>9</v>
      </c>
      <c r="E211" s="3"/>
      <c r="F211" s="3"/>
      <c r="G211" s="3"/>
      <c r="H211" s="3"/>
      <c r="I211" s="3"/>
      <c r="J211" s="29"/>
      <c r="K211" s="1"/>
      <c r="L211" s="1"/>
      <c r="M211" s="54"/>
    </row>
    <row r="212" spans="1:13">
      <c r="A212" s="153"/>
      <c r="B212" s="22">
        <v>42105</v>
      </c>
      <c r="C212" s="1" t="s">
        <v>46</v>
      </c>
      <c r="D212" s="3">
        <v>9</v>
      </c>
      <c r="E212" s="3"/>
      <c r="F212" s="3"/>
      <c r="G212" s="3"/>
      <c r="H212" s="3"/>
      <c r="I212" s="3"/>
      <c r="J212" s="29"/>
      <c r="K212" s="1"/>
      <c r="L212" s="1"/>
      <c r="M212" s="54"/>
    </row>
    <row r="213" spans="1:13">
      <c r="A213" s="153"/>
      <c r="B213" s="22">
        <v>42106</v>
      </c>
      <c r="C213" s="1" t="s">
        <v>46</v>
      </c>
      <c r="D213" s="3">
        <v>9</v>
      </c>
      <c r="E213" s="3"/>
      <c r="F213" s="3"/>
      <c r="G213" s="3"/>
      <c r="H213" s="3"/>
      <c r="I213" s="3"/>
      <c r="J213" s="29"/>
      <c r="K213" s="1"/>
      <c r="L213" s="1"/>
      <c r="M213" s="54"/>
    </row>
    <row r="214" spans="1:13">
      <c r="A214" s="153"/>
      <c r="B214" s="22">
        <v>42107</v>
      </c>
      <c r="C214" s="1" t="s">
        <v>46</v>
      </c>
      <c r="D214" s="3">
        <v>9</v>
      </c>
      <c r="E214" s="3"/>
      <c r="F214" s="3"/>
      <c r="G214" s="3"/>
      <c r="H214" s="3"/>
      <c r="I214" s="3"/>
      <c r="J214" s="29"/>
      <c r="K214" s="1"/>
      <c r="L214" s="1"/>
      <c r="M214" s="54"/>
    </row>
    <row r="215" spans="1:13">
      <c r="A215" s="153"/>
      <c r="B215" s="22">
        <v>42108</v>
      </c>
      <c r="C215" s="1" t="s">
        <v>46</v>
      </c>
      <c r="D215" s="3"/>
      <c r="E215" s="3"/>
      <c r="F215" s="3"/>
      <c r="G215" s="3"/>
      <c r="H215" s="3"/>
      <c r="I215" s="3"/>
      <c r="J215" s="29"/>
      <c r="K215" s="1"/>
      <c r="L215" s="1"/>
      <c r="M215" s="54"/>
    </row>
    <row r="216" spans="1:13">
      <c r="A216" s="153"/>
      <c r="B216" s="22">
        <v>42109</v>
      </c>
      <c r="C216" s="1" t="s">
        <v>46</v>
      </c>
      <c r="D216" s="3"/>
      <c r="E216" s="3"/>
      <c r="F216" s="3"/>
      <c r="G216" s="3"/>
      <c r="H216" s="3"/>
      <c r="I216" s="3"/>
      <c r="J216" s="29"/>
      <c r="K216" s="1"/>
      <c r="L216" s="1"/>
      <c r="M216" s="54"/>
    </row>
    <row r="217" spans="1:13">
      <c r="A217" s="153"/>
      <c r="B217" s="22">
        <v>42110</v>
      </c>
      <c r="C217" s="1" t="s">
        <v>46</v>
      </c>
      <c r="D217" s="3">
        <v>9</v>
      </c>
      <c r="E217" s="3"/>
      <c r="F217" s="3"/>
      <c r="G217" s="3"/>
      <c r="H217" s="3"/>
      <c r="I217" s="3"/>
      <c r="J217" s="29"/>
      <c r="K217" s="1"/>
      <c r="L217" s="1"/>
      <c r="M217" s="54"/>
    </row>
    <row r="218" spans="1:13">
      <c r="A218" s="153"/>
      <c r="B218" s="22">
        <v>42111</v>
      </c>
      <c r="C218" s="1" t="s">
        <v>46</v>
      </c>
      <c r="D218" s="3">
        <v>9</v>
      </c>
      <c r="E218" s="3"/>
      <c r="F218" s="3"/>
      <c r="G218" s="3"/>
      <c r="H218" s="3"/>
      <c r="I218" s="3"/>
      <c r="J218" s="29"/>
      <c r="K218" s="1"/>
      <c r="L218" s="1"/>
      <c r="M218" s="54"/>
    </row>
    <row r="219" spans="1:13">
      <c r="A219" s="153"/>
      <c r="B219" s="22">
        <v>42112</v>
      </c>
      <c r="C219" s="1" t="s">
        <v>46</v>
      </c>
      <c r="D219" s="3">
        <v>9</v>
      </c>
      <c r="E219" s="3"/>
      <c r="F219" s="3"/>
      <c r="G219" s="3"/>
      <c r="H219" s="3"/>
      <c r="I219" s="3"/>
      <c r="J219" s="29"/>
      <c r="K219" s="1"/>
      <c r="L219" s="1"/>
      <c r="M219" s="54"/>
    </row>
    <row r="220" spans="1:13">
      <c r="A220" s="153"/>
      <c r="B220" s="22">
        <v>42113</v>
      </c>
      <c r="C220" s="1" t="s">
        <v>46</v>
      </c>
      <c r="D220" s="3">
        <v>9</v>
      </c>
      <c r="E220" s="3"/>
      <c r="F220" s="3"/>
      <c r="G220" s="3"/>
      <c r="H220" s="3"/>
      <c r="I220" s="3"/>
      <c r="J220" s="29"/>
      <c r="K220" s="1"/>
      <c r="L220" s="1"/>
      <c r="M220" s="54"/>
    </row>
    <row r="221" spans="1:13">
      <c r="A221" s="153"/>
      <c r="B221" s="22">
        <v>42114</v>
      </c>
      <c r="C221" s="1" t="s">
        <v>46</v>
      </c>
      <c r="D221" s="3">
        <v>9</v>
      </c>
      <c r="E221" s="3"/>
      <c r="F221" s="3"/>
      <c r="G221" s="3"/>
      <c r="H221" s="3"/>
      <c r="I221" s="3"/>
      <c r="J221" s="29"/>
      <c r="K221" s="1"/>
      <c r="L221" s="1"/>
      <c r="M221" s="54"/>
    </row>
    <row r="222" spans="1:13">
      <c r="A222" s="153"/>
      <c r="B222" s="22">
        <v>42115</v>
      </c>
      <c r="C222" s="1" t="s">
        <v>46</v>
      </c>
      <c r="D222" s="3"/>
      <c r="E222" s="3"/>
      <c r="F222" s="3"/>
      <c r="G222" s="3"/>
      <c r="H222" s="3"/>
      <c r="I222" s="3"/>
      <c r="J222" s="29"/>
      <c r="K222" s="1"/>
      <c r="L222" s="1"/>
      <c r="M222" s="54"/>
    </row>
    <row r="223" spans="1:13">
      <c r="A223" s="153"/>
      <c r="B223" s="22">
        <v>42116</v>
      </c>
      <c r="C223" s="1" t="s">
        <v>46</v>
      </c>
      <c r="D223" s="3"/>
      <c r="E223" s="3"/>
      <c r="F223" s="3"/>
      <c r="G223" s="3"/>
      <c r="H223" s="3"/>
      <c r="I223" s="3"/>
      <c r="J223" s="29"/>
      <c r="K223" s="1"/>
      <c r="L223" s="1"/>
      <c r="M223" s="54"/>
    </row>
    <row r="224" spans="1:13">
      <c r="A224" s="153"/>
      <c r="B224" s="22">
        <v>42117</v>
      </c>
      <c r="C224" s="1" t="s">
        <v>46</v>
      </c>
      <c r="D224" s="3">
        <v>9</v>
      </c>
      <c r="E224" s="3"/>
      <c r="F224" s="3"/>
      <c r="G224" s="3"/>
      <c r="H224" s="3"/>
      <c r="I224" s="3"/>
      <c r="J224" s="29"/>
      <c r="K224" s="1"/>
      <c r="L224" s="1"/>
      <c r="M224" s="54"/>
    </row>
    <row r="225" spans="1:18">
      <c r="A225" s="153"/>
      <c r="B225" s="22">
        <v>42118</v>
      </c>
      <c r="C225" s="1" t="s">
        <v>46</v>
      </c>
      <c r="D225" s="3">
        <v>9</v>
      </c>
      <c r="E225" s="3"/>
      <c r="F225" s="3"/>
      <c r="G225" s="3"/>
      <c r="H225" s="3"/>
      <c r="I225" s="3"/>
      <c r="J225" s="29"/>
      <c r="K225" s="1"/>
      <c r="L225" s="1"/>
      <c r="M225" s="54"/>
    </row>
    <row r="226" spans="1:18">
      <c r="A226" s="153"/>
      <c r="B226" s="22">
        <v>42119</v>
      </c>
      <c r="C226" s="1" t="s">
        <v>46</v>
      </c>
      <c r="D226" s="3">
        <v>9</v>
      </c>
      <c r="E226" s="3"/>
      <c r="F226" s="3"/>
      <c r="G226" s="3"/>
      <c r="H226" s="3"/>
      <c r="I226" s="3"/>
      <c r="J226" s="29"/>
      <c r="K226" s="1"/>
      <c r="L226" s="1"/>
      <c r="M226" s="54"/>
    </row>
    <row r="227" spans="1:18">
      <c r="A227" s="153"/>
      <c r="B227" s="22">
        <v>42120</v>
      </c>
      <c r="C227" s="1" t="s">
        <v>46</v>
      </c>
      <c r="D227" s="3">
        <v>9</v>
      </c>
      <c r="E227" s="3"/>
      <c r="F227" s="3"/>
      <c r="G227" s="3"/>
      <c r="H227" s="3"/>
      <c r="I227" s="3"/>
      <c r="J227" s="29"/>
      <c r="K227" s="1"/>
      <c r="L227" s="1"/>
      <c r="M227" s="54"/>
    </row>
    <row r="228" spans="1:18">
      <c r="A228" s="153"/>
      <c r="B228" s="22">
        <v>42121</v>
      </c>
      <c r="C228" s="1" t="s">
        <v>46</v>
      </c>
      <c r="D228" s="3">
        <v>9</v>
      </c>
      <c r="E228" s="3"/>
      <c r="F228" s="3"/>
      <c r="G228" s="3"/>
      <c r="H228" s="3"/>
      <c r="I228" s="3"/>
      <c r="J228" s="29"/>
      <c r="K228" s="1"/>
      <c r="L228" s="1"/>
      <c r="M228" s="54"/>
    </row>
    <row r="229" spans="1:18">
      <c r="A229" s="153"/>
      <c r="B229" s="22">
        <v>42122</v>
      </c>
      <c r="C229" s="1" t="s">
        <v>46</v>
      </c>
      <c r="D229" s="3"/>
      <c r="E229" s="3"/>
      <c r="F229" s="3"/>
      <c r="G229" s="3"/>
      <c r="H229" s="3"/>
      <c r="I229" s="3"/>
      <c r="J229" s="29"/>
      <c r="K229" s="1"/>
      <c r="L229" s="1"/>
      <c r="M229" s="54"/>
    </row>
    <row r="230" spans="1:18">
      <c r="A230" s="153"/>
      <c r="B230" s="22">
        <v>42123</v>
      </c>
      <c r="C230" s="1" t="s">
        <v>46</v>
      </c>
      <c r="D230" s="3"/>
      <c r="E230" s="3"/>
      <c r="F230" s="3"/>
      <c r="G230" s="3"/>
      <c r="H230" s="3"/>
      <c r="I230" s="3"/>
      <c r="J230" s="29"/>
      <c r="K230" s="1"/>
      <c r="L230" s="1"/>
      <c r="M230" s="54"/>
    </row>
    <row r="231" spans="1:18" ht="15.75" thickBot="1">
      <c r="A231" s="153"/>
      <c r="B231" s="23">
        <v>42124</v>
      </c>
      <c r="C231" s="1" t="s">
        <v>46</v>
      </c>
      <c r="D231" s="19">
        <v>9</v>
      </c>
      <c r="E231" s="3"/>
      <c r="F231" s="3"/>
      <c r="G231" s="3"/>
      <c r="H231" s="3"/>
      <c r="I231" s="3"/>
      <c r="J231" s="1"/>
      <c r="K231" s="1"/>
      <c r="L231" s="1"/>
      <c r="M231" s="54"/>
    </row>
    <row r="232" spans="1:18" ht="15.75" thickBot="1">
      <c r="A232" s="154"/>
      <c r="B232" s="24" t="s">
        <v>92</v>
      </c>
      <c r="C232" s="20"/>
      <c r="D232" s="21">
        <f>SUM(D202:D231)</f>
        <v>180</v>
      </c>
      <c r="E232"/>
      <c r="F232"/>
      <c r="G232"/>
      <c r="H232"/>
      <c r="I232"/>
    </row>
    <row r="233" spans="1:18" ht="15.75" thickBot="1">
      <c r="A233" s="149"/>
      <c r="B233" s="150"/>
      <c r="C233" s="150"/>
      <c r="D233" s="150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1"/>
    </row>
    <row r="237" spans="1:18" ht="15.75" thickBot="1"/>
    <row r="238" spans="1:18" ht="15.75" thickBot="1">
      <c r="E238" s="161" t="s">
        <v>110</v>
      </c>
      <c r="F238" s="162"/>
      <c r="G238" s="162"/>
      <c r="H238" s="163"/>
      <c r="I238" s="164" t="s">
        <v>116</v>
      </c>
      <c r="J238" s="165"/>
      <c r="K238" s="165"/>
      <c r="L238" s="166"/>
    </row>
    <row r="239" spans="1:18" ht="15.75" thickBot="1">
      <c r="A239" s="55" t="s">
        <v>91</v>
      </c>
      <c r="B239" s="33" t="s">
        <v>109</v>
      </c>
      <c r="C239" s="34" t="s">
        <v>11</v>
      </c>
      <c r="D239" s="34" t="s">
        <v>10</v>
      </c>
      <c r="E239" s="35" t="s">
        <v>111</v>
      </c>
      <c r="F239" s="36" t="s">
        <v>112</v>
      </c>
      <c r="G239" s="37" t="s">
        <v>113</v>
      </c>
      <c r="H239" s="38" t="s">
        <v>114</v>
      </c>
      <c r="I239" s="35" t="s">
        <v>111</v>
      </c>
      <c r="J239" s="36" t="s">
        <v>112</v>
      </c>
      <c r="K239" s="37" t="s">
        <v>113</v>
      </c>
      <c r="L239" s="38" t="s">
        <v>114</v>
      </c>
      <c r="M239" s="34" t="s">
        <v>115</v>
      </c>
    </row>
    <row r="240" spans="1:18">
      <c r="A240" s="152" t="s">
        <v>49</v>
      </c>
      <c r="B240" s="30">
        <v>42095</v>
      </c>
      <c r="C240" s="18" t="s">
        <v>46</v>
      </c>
      <c r="D240" s="31"/>
      <c r="E240" s="31"/>
      <c r="F240" s="31"/>
      <c r="G240" s="31"/>
      <c r="H240" s="31"/>
      <c r="I240" s="31"/>
      <c r="J240" s="32"/>
      <c r="K240" s="18"/>
      <c r="L240" s="18"/>
      <c r="M240" s="54"/>
    </row>
    <row r="241" spans="1:13">
      <c r="A241" s="153"/>
      <c r="B241" s="22">
        <v>42096</v>
      </c>
      <c r="C241" s="1" t="s">
        <v>46</v>
      </c>
      <c r="D241" s="3">
        <v>9</v>
      </c>
      <c r="E241" s="3"/>
      <c r="F241" s="3"/>
      <c r="G241" s="3"/>
      <c r="H241" s="3"/>
      <c r="I241" s="3"/>
      <c r="J241" s="29"/>
      <c r="K241" s="1"/>
      <c r="L241" s="1"/>
      <c r="M241" s="54"/>
    </row>
    <row r="242" spans="1:13">
      <c r="A242" s="153"/>
      <c r="B242" s="22">
        <v>42097</v>
      </c>
      <c r="C242" s="1" t="s">
        <v>46</v>
      </c>
      <c r="D242" s="3">
        <v>9</v>
      </c>
      <c r="E242" s="3"/>
      <c r="F242" s="3"/>
      <c r="G242" s="3"/>
      <c r="H242" s="3"/>
      <c r="I242" s="3"/>
      <c r="J242" s="29"/>
      <c r="K242" s="1"/>
      <c r="L242" s="1"/>
      <c r="M242" s="54"/>
    </row>
    <row r="243" spans="1:13">
      <c r="A243" s="153"/>
      <c r="B243" s="22">
        <v>42098</v>
      </c>
      <c r="C243" s="1" t="s">
        <v>46</v>
      </c>
      <c r="D243" s="3">
        <v>9</v>
      </c>
      <c r="E243" s="3"/>
      <c r="F243" s="3"/>
      <c r="G243" s="3"/>
      <c r="H243" s="3"/>
      <c r="I243" s="3"/>
      <c r="J243" s="29"/>
      <c r="K243" s="1"/>
      <c r="L243" s="1"/>
      <c r="M243" s="54"/>
    </row>
    <row r="244" spans="1:13">
      <c r="A244" s="153"/>
      <c r="B244" s="22">
        <v>42099</v>
      </c>
      <c r="C244" s="1" t="s">
        <v>46</v>
      </c>
      <c r="D244" s="3">
        <v>9</v>
      </c>
      <c r="E244" s="3"/>
      <c r="F244" s="3"/>
      <c r="G244" s="3"/>
      <c r="H244" s="3"/>
      <c r="I244" s="3"/>
      <c r="J244" s="29"/>
      <c r="K244" s="1"/>
      <c r="L244" s="1"/>
      <c r="M244" s="54"/>
    </row>
    <row r="245" spans="1:13">
      <c r="A245" s="153"/>
      <c r="B245" s="22">
        <v>42100</v>
      </c>
      <c r="C245" s="1" t="s">
        <v>46</v>
      </c>
      <c r="D245" s="3">
        <v>9</v>
      </c>
      <c r="E245" s="3"/>
      <c r="F245" s="3"/>
      <c r="G245" s="3"/>
      <c r="H245" s="3"/>
      <c r="I245" s="3"/>
      <c r="J245" s="29"/>
      <c r="K245" s="1"/>
      <c r="L245" s="1"/>
      <c r="M245" s="54"/>
    </row>
    <row r="246" spans="1:13">
      <c r="A246" s="153"/>
      <c r="B246" s="22">
        <v>42101</v>
      </c>
      <c r="C246" s="1" t="s">
        <v>46</v>
      </c>
      <c r="D246" s="3"/>
      <c r="E246" s="3"/>
      <c r="F246" s="3"/>
      <c r="G246" s="3"/>
      <c r="H246" s="3"/>
      <c r="I246" s="3"/>
      <c r="J246" s="29"/>
      <c r="K246" s="1"/>
      <c r="L246" s="1"/>
      <c r="M246" s="54"/>
    </row>
    <row r="247" spans="1:13">
      <c r="A247" s="153"/>
      <c r="B247" s="22">
        <v>42102</v>
      </c>
      <c r="C247" s="1" t="s">
        <v>46</v>
      </c>
      <c r="D247" s="3"/>
      <c r="E247" s="3"/>
      <c r="F247" s="3"/>
      <c r="G247" s="3"/>
      <c r="H247" s="3"/>
      <c r="I247" s="3"/>
      <c r="J247" s="29"/>
      <c r="K247" s="1"/>
      <c r="L247" s="1"/>
      <c r="M247" s="54"/>
    </row>
    <row r="248" spans="1:13">
      <c r="A248" s="153"/>
      <c r="B248" s="22">
        <v>42103</v>
      </c>
      <c r="C248" s="1" t="s">
        <v>46</v>
      </c>
      <c r="D248" s="3"/>
      <c r="E248" s="3"/>
      <c r="F248" s="3"/>
      <c r="G248" s="3"/>
      <c r="H248" s="3"/>
      <c r="I248" s="3"/>
      <c r="J248" s="29"/>
      <c r="K248" s="1"/>
      <c r="L248" s="1"/>
      <c r="M248" s="54"/>
    </row>
    <row r="249" spans="1:13">
      <c r="A249" s="153"/>
      <c r="B249" s="22">
        <v>42104</v>
      </c>
      <c r="C249" s="1" t="s">
        <v>46</v>
      </c>
      <c r="D249" s="3">
        <v>9</v>
      </c>
      <c r="E249" s="3"/>
      <c r="F249" s="3"/>
      <c r="G249" s="3"/>
      <c r="H249" s="3"/>
      <c r="I249" s="3"/>
      <c r="J249" s="29"/>
      <c r="K249" s="1"/>
      <c r="L249" s="1"/>
      <c r="M249" s="54"/>
    </row>
    <row r="250" spans="1:13">
      <c r="A250" s="153"/>
      <c r="B250" s="22">
        <v>42105</v>
      </c>
      <c r="C250" s="1" t="s">
        <v>46</v>
      </c>
      <c r="D250" s="3">
        <v>9</v>
      </c>
      <c r="E250" s="3"/>
      <c r="F250" s="3"/>
      <c r="G250" s="3"/>
      <c r="H250" s="3"/>
      <c r="I250" s="3"/>
      <c r="J250" s="29"/>
      <c r="K250" s="1"/>
      <c r="L250" s="1"/>
      <c r="M250" s="54"/>
    </row>
    <row r="251" spans="1:13">
      <c r="A251" s="153"/>
      <c r="B251" s="22">
        <v>42106</v>
      </c>
      <c r="C251" s="1" t="s">
        <v>46</v>
      </c>
      <c r="D251" s="3">
        <v>9</v>
      </c>
      <c r="E251" s="3"/>
      <c r="F251" s="3"/>
      <c r="G251" s="3"/>
      <c r="H251" s="3"/>
      <c r="I251" s="3"/>
      <c r="J251" s="29"/>
      <c r="K251" s="1"/>
      <c r="L251" s="1"/>
      <c r="M251" s="54"/>
    </row>
    <row r="252" spans="1:13">
      <c r="A252" s="153"/>
      <c r="B252" s="22">
        <v>42107</v>
      </c>
      <c r="C252" s="1" t="s">
        <v>46</v>
      </c>
      <c r="D252" s="3">
        <v>9</v>
      </c>
      <c r="E252" s="3"/>
      <c r="F252" s="3"/>
      <c r="G252" s="3"/>
      <c r="H252" s="3"/>
      <c r="I252" s="3"/>
      <c r="J252" s="29"/>
      <c r="K252" s="1"/>
      <c r="L252" s="1"/>
      <c r="M252" s="54"/>
    </row>
    <row r="253" spans="1:13">
      <c r="A253" s="153"/>
      <c r="B253" s="22">
        <v>42108</v>
      </c>
      <c r="C253" s="1" t="s">
        <v>46</v>
      </c>
      <c r="D253" s="3"/>
      <c r="E253" s="3"/>
      <c r="F253" s="3"/>
      <c r="G253" s="3"/>
      <c r="H253" s="3"/>
      <c r="I253" s="3"/>
      <c r="J253" s="29"/>
      <c r="K253" s="1"/>
      <c r="L253" s="1"/>
      <c r="M253" s="54"/>
    </row>
    <row r="254" spans="1:13">
      <c r="A254" s="153"/>
      <c r="B254" s="22">
        <v>42109</v>
      </c>
      <c r="C254" s="1" t="s">
        <v>46</v>
      </c>
      <c r="D254" s="3"/>
      <c r="E254" s="3"/>
      <c r="F254" s="3"/>
      <c r="G254" s="3"/>
      <c r="H254" s="3"/>
      <c r="I254" s="3"/>
      <c r="J254" s="29"/>
      <c r="K254" s="1"/>
      <c r="L254" s="1"/>
      <c r="M254" s="54"/>
    </row>
    <row r="255" spans="1:13">
      <c r="A255" s="153"/>
      <c r="B255" s="22">
        <v>42110</v>
      </c>
      <c r="C255" s="1" t="s">
        <v>46</v>
      </c>
      <c r="D255" s="3">
        <v>9</v>
      </c>
      <c r="E255" s="3"/>
      <c r="F255" s="3"/>
      <c r="G255" s="3"/>
      <c r="H255" s="3"/>
      <c r="I255" s="3"/>
      <c r="J255" s="29"/>
      <c r="K255" s="1"/>
      <c r="L255" s="1"/>
      <c r="M255" s="54"/>
    </row>
    <row r="256" spans="1:13">
      <c r="A256" s="153"/>
      <c r="B256" s="22">
        <v>42111</v>
      </c>
      <c r="C256" s="1" t="s">
        <v>46</v>
      </c>
      <c r="D256" s="3">
        <v>9</v>
      </c>
      <c r="E256" s="3"/>
      <c r="F256" s="3"/>
      <c r="G256" s="3"/>
      <c r="H256" s="3"/>
      <c r="I256" s="3"/>
      <c r="J256" s="29"/>
      <c r="K256" s="1"/>
      <c r="L256" s="1"/>
      <c r="M256" s="54"/>
    </row>
    <row r="257" spans="1:18">
      <c r="A257" s="153"/>
      <c r="B257" s="22">
        <v>42112</v>
      </c>
      <c r="C257" s="1" t="s">
        <v>46</v>
      </c>
      <c r="D257" s="3">
        <v>9</v>
      </c>
      <c r="E257" s="3"/>
      <c r="F257" s="3"/>
      <c r="G257" s="3"/>
      <c r="H257" s="3"/>
      <c r="I257" s="3"/>
      <c r="J257" s="29"/>
      <c r="K257" s="1"/>
      <c r="L257" s="1"/>
      <c r="M257" s="54"/>
    </row>
    <row r="258" spans="1:18">
      <c r="A258" s="153"/>
      <c r="B258" s="22">
        <v>42113</v>
      </c>
      <c r="C258" s="1" t="s">
        <v>46</v>
      </c>
      <c r="D258" s="3">
        <v>9</v>
      </c>
      <c r="E258" s="3"/>
      <c r="F258" s="3"/>
      <c r="G258" s="3"/>
      <c r="H258" s="3"/>
      <c r="I258" s="3"/>
      <c r="J258" s="29"/>
      <c r="K258" s="1"/>
      <c r="L258" s="1"/>
      <c r="M258" s="54"/>
    </row>
    <row r="259" spans="1:18">
      <c r="A259" s="153"/>
      <c r="B259" s="22">
        <v>42114</v>
      </c>
      <c r="C259" s="1" t="s">
        <v>46</v>
      </c>
      <c r="D259" s="3">
        <v>9</v>
      </c>
      <c r="E259" s="3"/>
      <c r="F259" s="3"/>
      <c r="G259" s="3"/>
      <c r="H259" s="3"/>
      <c r="I259" s="3"/>
      <c r="J259" s="29"/>
      <c r="K259" s="1"/>
      <c r="L259" s="1"/>
      <c r="M259" s="54"/>
    </row>
    <row r="260" spans="1:18">
      <c r="A260" s="153"/>
      <c r="B260" s="22">
        <v>42115</v>
      </c>
      <c r="C260" s="1" t="s">
        <v>46</v>
      </c>
      <c r="D260" s="3"/>
      <c r="E260" s="3"/>
      <c r="F260" s="3"/>
      <c r="G260" s="3"/>
      <c r="H260" s="3"/>
      <c r="I260" s="3"/>
      <c r="J260" s="29"/>
      <c r="K260" s="1"/>
      <c r="L260" s="1"/>
      <c r="M260" s="54"/>
    </row>
    <row r="261" spans="1:18">
      <c r="A261" s="153"/>
      <c r="B261" s="22">
        <v>42116</v>
      </c>
      <c r="C261" s="1" t="s">
        <v>46</v>
      </c>
      <c r="D261" s="3"/>
      <c r="E261" s="3"/>
      <c r="F261" s="3"/>
      <c r="G261" s="3"/>
      <c r="H261" s="3"/>
      <c r="I261" s="3"/>
      <c r="J261" s="29"/>
      <c r="K261" s="1"/>
      <c r="L261" s="1"/>
      <c r="M261" s="54"/>
    </row>
    <row r="262" spans="1:18">
      <c r="A262" s="153"/>
      <c r="B262" s="22">
        <v>42117</v>
      </c>
      <c r="C262" s="1" t="s">
        <v>46</v>
      </c>
      <c r="D262" s="3">
        <v>9</v>
      </c>
      <c r="E262" s="3"/>
      <c r="F262" s="3"/>
      <c r="G262" s="3"/>
      <c r="H262" s="3"/>
      <c r="I262" s="3"/>
      <c r="J262" s="29"/>
      <c r="K262" s="1"/>
      <c r="L262" s="1"/>
      <c r="M262" s="54"/>
    </row>
    <row r="263" spans="1:18">
      <c r="A263" s="153"/>
      <c r="B263" s="22">
        <v>42118</v>
      </c>
      <c r="C263" s="1" t="s">
        <v>46</v>
      </c>
      <c r="D263" s="3">
        <v>9</v>
      </c>
      <c r="E263" s="3"/>
      <c r="F263" s="3"/>
      <c r="G263" s="3"/>
      <c r="H263" s="3"/>
      <c r="I263" s="3"/>
      <c r="J263" s="29"/>
      <c r="K263" s="1"/>
      <c r="L263" s="1"/>
      <c r="M263" s="54"/>
    </row>
    <row r="264" spans="1:18">
      <c r="A264" s="153"/>
      <c r="B264" s="22">
        <v>42119</v>
      </c>
      <c r="C264" s="1" t="s">
        <v>46</v>
      </c>
      <c r="D264" s="3">
        <v>9</v>
      </c>
      <c r="E264" s="3"/>
      <c r="F264" s="3"/>
      <c r="G264" s="3"/>
      <c r="H264" s="3"/>
      <c r="I264" s="3"/>
      <c r="J264" s="29"/>
      <c r="K264" s="1"/>
      <c r="L264" s="1"/>
      <c r="M264" s="54"/>
    </row>
    <row r="265" spans="1:18">
      <c r="A265" s="153"/>
      <c r="B265" s="22">
        <v>42120</v>
      </c>
      <c r="C265" s="1" t="s">
        <v>46</v>
      </c>
      <c r="D265" s="3">
        <v>9</v>
      </c>
      <c r="E265" s="3"/>
      <c r="F265" s="3"/>
      <c r="G265" s="3"/>
      <c r="H265" s="3"/>
      <c r="I265" s="3"/>
      <c r="J265" s="29"/>
      <c r="K265" s="1"/>
      <c r="L265" s="1"/>
      <c r="M265" s="54"/>
    </row>
    <row r="266" spans="1:18">
      <c r="A266" s="153"/>
      <c r="B266" s="22">
        <v>42121</v>
      </c>
      <c r="C266" s="1" t="s">
        <v>46</v>
      </c>
      <c r="D266" s="3">
        <v>9</v>
      </c>
      <c r="E266" s="3"/>
      <c r="F266" s="3"/>
      <c r="G266" s="3"/>
      <c r="H266" s="3"/>
      <c r="I266" s="3"/>
      <c r="J266" s="29"/>
      <c r="K266" s="1"/>
      <c r="L266" s="1"/>
      <c r="M266" s="54"/>
    </row>
    <row r="267" spans="1:18">
      <c r="A267" s="153"/>
      <c r="B267" s="22">
        <v>42122</v>
      </c>
      <c r="C267" s="1" t="s">
        <v>46</v>
      </c>
      <c r="D267" s="3"/>
      <c r="E267" s="3"/>
      <c r="F267" s="3"/>
      <c r="G267" s="3"/>
      <c r="H267" s="3"/>
      <c r="I267" s="3"/>
      <c r="J267" s="29"/>
      <c r="K267" s="1"/>
      <c r="L267" s="1"/>
      <c r="M267" s="54"/>
    </row>
    <row r="268" spans="1:18">
      <c r="A268" s="153"/>
      <c r="B268" s="22">
        <v>42123</v>
      </c>
      <c r="C268" s="1" t="s">
        <v>46</v>
      </c>
      <c r="D268" s="3"/>
      <c r="E268" s="3"/>
      <c r="F268" s="3"/>
      <c r="G268" s="3"/>
      <c r="H268" s="3"/>
      <c r="I268" s="3"/>
      <c r="J268" s="29"/>
      <c r="K268" s="1"/>
      <c r="L268" s="1"/>
      <c r="M268" s="54"/>
    </row>
    <row r="269" spans="1:18" ht="15.75" thickBot="1">
      <c r="A269" s="153"/>
      <c r="B269" s="23">
        <v>42124</v>
      </c>
      <c r="C269" s="1" t="s">
        <v>46</v>
      </c>
      <c r="D269" s="19">
        <v>9</v>
      </c>
      <c r="E269" s="3"/>
      <c r="F269" s="3"/>
      <c r="G269" s="3"/>
      <c r="H269" s="3"/>
      <c r="I269" s="3"/>
      <c r="J269" s="1"/>
      <c r="K269" s="1"/>
      <c r="L269" s="1"/>
      <c r="M269" s="54"/>
    </row>
    <row r="270" spans="1:18" ht="15.75" thickBot="1">
      <c r="A270" s="154"/>
      <c r="B270" s="24" t="s">
        <v>92</v>
      </c>
      <c r="C270" s="20"/>
      <c r="D270" s="21">
        <f>SUM(D240:D269)</f>
        <v>180</v>
      </c>
      <c r="E270"/>
      <c r="F270"/>
      <c r="G270"/>
      <c r="H270"/>
      <c r="I270"/>
    </row>
    <row r="271" spans="1:18" ht="15.75" thickBot="1">
      <c r="A271" s="149"/>
      <c r="B271" s="150"/>
      <c r="C271" s="150"/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1"/>
    </row>
  </sheetData>
  <mergeCells count="29">
    <mergeCell ref="A240:A270"/>
    <mergeCell ref="A271:R271"/>
    <mergeCell ref="A159:R159"/>
    <mergeCell ref="A47:R47"/>
    <mergeCell ref="E51:H51"/>
    <mergeCell ref="I51:L51"/>
    <mergeCell ref="A53:A83"/>
    <mergeCell ref="A84:R84"/>
    <mergeCell ref="E88:H88"/>
    <mergeCell ref="I88:L88"/>
    <mergeCell ref="A90:A120"/>
    <mergeCell ref="A121:R121"/>
    <mergeCell ref="E126:H126"/>
    <mergeCell ref="C1:D1"/>
    <mergeCell ref="E14:H14"/>
    <mergeCell ref="I14:L14"/>
    <mergeCell ref="A16:A45"/>
    <mergeCell ref="E238:H238"/>
    <mergeCell ref="I238:L238"/>
    <mergeCell ref="I126:L126"/>
    <mergeCell ref="A128:A158"/>
    <mergeCell ref="A202:A232"/>
    <mergeCell ref="A233:R233"/>
    <mergeCell ref="E163:H163"/>
    <mergeCell ref="I163:L163"/>
    <mergeCell ref="A165:A195"/>
    <mergeCell ref="A196:R196"/>
    <mergeCell ref="E200:H200"/>
    <mergeCell ref="I200:L200"/>
  </mergeCells>
  <conditionalFormatting sqref="C16:C45 C53:C82 C90:C119 C128:C157 C165:C194 C202:C231">
    <cfRule type="cellIs" dxfId="35" priority="3" operator="equal">
      <formula>"Leave"</formula>
    </cfRule>
    <cfRule type="cellIs" dxfId="34" priority="4" operator="equal">
      <formula>"Public Holiday"</formula>
    </cfRule>
  </conditionalFormatting>
  <conditionalFormatting sqref="C240:C269">
    <cfRule type="cellIs" dxfId="33" priority="1" operator="equal">
      <formula>"Leave"</formula>
    </cfRule>
    <cfRule type="cellIs" dxfId="32" priority="2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6:C45 C202:C231 C165:C194 C128:C157 C90:C119 C53:C82 C240:C269">
      <formula1>Tasks</formula1>
    </dataValidation>
  </dataValidations>
  <hyperlinks>
    <hyperlink ref="A3" location="StampsCollectibles!A21" display="Dipali Wakchaure"/>
    <hyperlink ref="A4" location="StampsCollectibles!A58" display="Shirish Kini"/>
    <hyperlink ref="A5" location="StampsCollectibles!A95" display="Aiswarya Agrawal"/>
    <hyperlink ref="A6" location="StampsCollectibles!A133" display="Satyadeo Kumar"/>
    <hyperlink ref="A7" location="StampsCollectibles!A170" display="Gunjan Solanki"/>
    <hyperlink ref="A8" location="StampsCollectibles!A207" display="Ashish Kulkarni"/>
    <hyperlink ref="A9" location="StampsCollectibles!A245" display="Smitha Prabhu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FFCC66"/>
  </sheetPr>
  <dimension ref="A1:AT348"/>
  <sheetViews>
    <sheetView zoomScale="90" zoomScaleNormal="90" workbookViewId="0">
      <selection activeCell="B14" sqref="B14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>
      <c r="A2" s="67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68" t="s">
        <v>63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64</v>
      </c>
      <c r="C4" s="46" t="s">
        <v>38</v>
      </c>
      <c r="D4" s="46">
        <f>1/4</f>
        <v>0.25</v>
      </c>
      <c r="F4"/>
      <c r="G4"/>
      <c r="H4"/>
      <c r="I4"/>
    </row>
    <row r="5" spans="1:46">
      <c r="A5" s="57" t="s">
        <v>65</v>
      </c>
      <c r="C5" s="46" t="s">
        <v>39</v>
      </c>
      <c r="D5" s="53">
        <f>20/60</f>
        <v>0.33333333333333331</v>
      </c>
      <c r="F5"/>
      <c r="G5"/>
      <c r="H5"/>
      <c r="I5"/>
    </row>
    <row r="6" spans="1:46">
      <c r="A6" s="58" t="s">
        <v>66</v>
      </c>
      <c r="C6" s="46" t="s">
        <v>40</v>
      </c>
      <c r="D6" s="53">
        <f>25/60</f>
        <v>0.41666666666666669</v>
      </c>
      <c r="F6"/>
      <c r="G6"/>
      <c r="H6"/>
      <c r="I6"/>
    </row>
    <row r="7" spans="1:46">
      <c r="A7" s="59" t="s">
        <v>67</v>
      </c>
      <c r="C7" s="46" t="s">
        <v>41</v>
      </c>
      <c r="D7" s="46">
        <f>30/60</f>
        <v>0.5</v>
      </c>
      <c r="F7"/>
      <c r="G7"/>
      <c r="H7"/>
      <c r="I7"/>
    </row>
    <row r="8" spans="1:46">
      <c r="A8" s="60" t="s">
        <v>68</v>
      </c>
      <c r="C8" s="53" t="s">
        <v>42</v>
      </c>
      <c r="D8" s="53">
        <f>40/60</f>
        <v>0.66666666666666663</v>
      </c>
      <c r="F8"/>
      <c r="G8"/>
      <c r="H8"/>
      <c r="I8"/>
    </row>
    <row r="9" spans="1:46">
      <c r="A9" s="69" t="s">
        <v>69</v>
      </c>
      <c r="C9" s="46" t="s">
        <v>43</v>
      </c>
      <c r="D9" s="46">
        <f>45/60</f>
        <v>0.75</v>
      </c>
      <c r="F9"/>
      <c r="G9"/>
      <c r="H9"/>
      <c r="I9"/>
    </row>
    <row r="10" spans="1:46">
      <c r="A10" s="70" t="s">
        <v>76</v>
      </c>
      <c r="F10"/>
      <c r="G10"/>
      <c r="H10"/>
      <c r="I10"/>
    </row>
    <row r="11" spans="1:46">
      <c r="A11" s="71" t="s">
        <v>77</v>
      </c>
      <c r="C11" s="12"/>
      <c r="D11" s="12"/>
      <c r="F11"/>
      <c r="G11"/>
      <c r="H11"/>
      <c r="I11"/>
    </row>
    <row r="12" spans="1:46">
      <c r="C12" s="12"/>
      <c r="D12" s="12"/>
      <c r="F12"/>
      <c r="G12"/>
      <c r="H12"/>
      <c r="I12"/>
    </row>
    <row r="13" spans="1:46" s="6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s="65" customFormat="1" ht="15.75" thickBo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ht="34.5" customHeight="1" thickBot="1">
      <c r="E15" s="161" t="s">
        <v>110</v>
      </c>
      <c r="F15" s="162"/>
      <c r="G15" s="162"/>
      <c r="H15" s="163"/>
      <c r="I15" s="164" t="s">
        <v>116</v>
      </c>
      <c r="J15" s="165"/>
      <c r="K15" s="165"/>
      <c r="L15" s="166"/>
    </row>
    <row r="16" spans="1:46" ht="15.75" thickBot="1">
      <c r="A16" s="33" t="s">
        <v>91</v>
      </c>
      <c r="B16" s="33" t="s">
        <v>109</v>
      </c>
      <c r="C16" s="34" t="s">
        <v>11</v>
      </c>
      <c r="D16" s="34" t="s">
        <v>10</v>
      </c>
      <c r="E16" s="35" t="s">
        <v>111</v>
      </c>
      <c r="F16" s="36" t="s">
        <v>112</v>
      </c>
      <c r="G16" s="37" t="s">
        <v>113</v>
      </c>
      <c r="H16" s="38" t="s">
        <v>114</v>
      </c>
      <c r="I16" s="35" t="s">
        <v>111</v>
      </c>
      <c r="J16" s="36" t="s">
        <v>112</v>
      </c>
      <c r="K16" s="37" t="s">
        <v>113</v>
      </c>
      <c r="L16" s="38" t="s">
        <v>114</v>
      </c>
      <c r="M16" s="34" t="s">
        <v>115</v>
      </c>
    </row>
    <row r="17" spans="1:13">
      <c r="A17" s="167" t="s">
        <v>63</v>
      </c>
      <c r="B17" s="30">
        <v>42125</v>
      </c>
      <c r="C17" s="18" t="s">
        <v>46</v>
      </c>
      <c r="D17" s="31"/>
      <c r="E17" s="31"/>
      <c r="F17" s="31"/>
      <c r="G17" s="31"/>
      <c r="H17" s="31"/>
      <c r="I17" s="31"/>
      <c r="J17" s="32"/>
      <c r="K17" s="18"/>
      <c r="L17" s="18"/>
      <c r="M17" s="54"/>
    </row>
    <row r="18" spans="1:13">
      <c r="A18" s="167"/>
      <c r="B18" s="22">
        <v>42126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30">
        <v>42127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22">
        <v>42128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30">
        <v>42129</v>
      </c>
      <c r="C21" s="1" t="s">
        <v>46</v>
      </c>
      <c r="D21" s="3">
        <v>9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22">
        <v>42130</v>
      </c>
      <c r="C22" s="1" t="s">
        <v>46</v>
      </c>
      <c r="D22" s="3">
        <v>9</v>
      </c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30">
        <v>42131</v>
      </c>
      <c r="C23" s="1" t="s">
        <v>46</v>
      </c>
      <c r="D23" s="3"/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22">
        <v>42132</v>
      </c>
      <c r="C24" s="1" t="s">
        <v>46</v>
      </c>
      <c r="D24" s="3"/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30">
        <v>42133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22">
        <v>42134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30">
        <v>42135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22">
        <v>42136</v>
      </c>
      <c r="C28" s="1" t="s">
        <v>46</v>
      </c>
      <c r="D28" s="3">
        <v>9</v>
      </c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30">
        <v>42137</v>
      </c>
      <c r="C29" s="1" t="s">
        <v>46</v>
      </c>
      <c r="D29" s="3">
        <v>9</v>
      </c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22">
        <v>42138</v>
      </c>
      <c r="C30" s="1" t="s">
        <v>46</v>
      </c>
      <c r="D30" s="3"/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30">
        <v>42139</v>
      </c>
      <c r="C31" s="1" t="s">
        <v>46</v>
      </c>
      <c r="D31" s="3"/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22">
        <v>42140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30">
        <v>42141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22">
        <v>42142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30">
        <v>42143</v>
      </c>
      <c r="C35" s="1" t="s">
        <v>46</v>
      </c>
      <c r="D35" s="3">
        <v>9</v>
      </c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22">
        <v>42144</v>
      </c>
      <c r="C36" s="1" t="s">
        <v>46</v>
      </c>
      <c r="D36" s="3">
        <v>9</v>
      </c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30">
        <v>42145</v>
      </c>
      <c r="C37" s="1" t="s">
        <v>46</v>
      </c>
      <c r="D37" s="3"/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22">
        <v>42146</v>
      </c>
      <c r="C38" s="1" t="s">
        <v>46</v>
      </c>
      <c r="D38" s="3"/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30">
        <v>42147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22">
        <v>42148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30">
        <v>42149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22">
        <v>42150</v>
      </c>
      <c r="C42" s="1" t="s">
        <v>46</v>
      </c>
      <c r="D42" s="3">
        <v>9</v>
      </c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30">
        <v>42151</v>
      </c>
      <c r="C43" s="1" t="s">
        <v>46</v>
      </c>
      <c r="D43" s="3">
        <v>9</v>
      </c>
      <c r="E43" s="3"/>
      <c r="F43" s="3"/>
      <c r="G43" s="3"/>
      <c r="H43" s="3"/>
      <c r="I43" s="3"/>
      <c r="J43" s="29"/>
      <c r="K43" s="1"/>
      <c r="L43" s="1"/>
      <c r="M43" s="54"/>
    </row>
    <row r="44" spans="1:18">
      <c r="A44" s="167"/>
      <c r="B44" s="22">
        <v>42152</v>
      </c>
      <c r="C44" s="1" t="s">
        <v>46</v>
      </c>
      <c r="D44" s="3"/>
      <c r="E44" s="3"/>
      <c r="F44" s="3"/>
      <c r="G44" s="3"/>
      <c r="H44" s="3"/>
      <c r="I44" s="3"/>
      <c r="J44" s="29"/>
      <c r="K44" s="1"/>
      <c r="L44" s="1"/>
      <c r="M44" s="54"/>
    </row>
    <row r="45" spans="1:18">
      <c r="A45" s="167"/>
      <c r="B45" s="30">
        <v>42153</v>
      </c>
      <c r="C45" s="1" t="s">
        <v>46</v>
      </c>
      <c r="D45" s="3"/>
      <c r="E45" s="3"/>
      <c r="F45" s="3"/>
      <c r="G45" s="3"/>
      <c r="H45" s="3"/>
      <c r="I45" s="3"/>
      <c r="J45" s="29"/>
      <c r="K45" s="1"/>
      <c r="L45" s="1"/>
      <c r="M45" s="54"/>
    </row>
    <row r="46" spans="1:18" ht="15.75" thickBot="1">
      <c r="A46" s="167"/>
      <c r="B46" s="22">
        <v>42154</v>
      </c>
      <c r="C46" s="1" t="s">
        <v>46</v>
      </c>
      <c r="D46" s="19">
        <v>9</v>
      </c>
      <c r="E46" s="3"/>
      <c r="F46" s="3"/>
      <c r="G46" s="3"/>
      <c r="H46" s="3"/>
      <c r="I46" s="3"/>
      <c r="J46" s="1"/>
      <c r="K46" s="1"/>
      <c r="L46" s="1"/>
      <c r="M46" s="54"/>
    </row>
    <row r="47" spans="1:18" ht="15.75" thickBot="1">
      <c r="A47" s="61"/>
      <c r="B47" s="62" t="s">
        <v>92</v>
      </c>
      <c r="C47" s="63"/>
      <c r="D47" s="64">
        <f>SUM(D17:D46)</f>
        <v>189</v>
      </c>
      <c r="E47"/>
      <c r="F47"/>
      <c r="G47"/>
      <c r="H47"/>
      <c r="I47"/>
    </row>
    <row r="48" spans="1:18" ht="15.75" thickBot="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1"/>
    </row>
    <row r="49" spans="1:13">
      <c r="B49"/>
      <c r="D49"/>
      <c r="E49"/>
      <c r="F49"/>
      <c r="G49"/>
      <c r="H49"/>
      <c r="I49"/>
    </row>
    <row r="50" spans="1:13">
      <c r="B50"/>
      <c r="D50"/>
      <c r="E50"/>
      <c r="F50"/>
      <c r="G50"/>
      <c r="H50"/>
      <c r="I50"/>
    </row>
    <row r="51" spans="1:13" ht="15.75" thickBot="1">
      <c r="B51"/>
      <c r="D51"/>
      <c r="E51"/>
      <c r="F51"/>
      <c r="G51"/>
      <c r="H51"/>
      <c r="I51"/>
    </row>
    <row r="52" spans="1:13" ht="15.75" thickBot="1">
      <c r="E52" s="161" t="s">
        <v>110</v>
      </c>
      <c r="F52" s="162"/>
      <c r="G52" s="162"/>
      <c r="H52" s="163"/>
      <c r="I52" s="164" t="s">
        <v>116</v>
      </c>
      <c r="J52" s="165"/>
      <c r="K52" s="165"/>
      <c r="L52" s="166"/>
    </row>
    <row r="53" spans="1:13" ht="15.75" thickBot="1">
      <c r="A53" s="55" t="s">
        <v>91</v>
      </c>
      <c r="B53" s="33" t="s">
        <v>109</v>
      </c>
      <c r="C53" s="34" t="s">
        <v>11</v>
      </c>
      <c r="D53" s="34" t="s">
        <v>10</v>
      </c>
      <c r="E53" s="35" t="s">
        <v>111</v>
      </c>
      <c r="F53" s="36" t="s">
        <v>112</v>
      </c>
      <c r="G53" s="37" t="s">
        <v>113</v>
      </c>
      <c r="H53" s="38" t="s">
        <v>114</v>
      </c>
      <c r="I53" s="35" t="s">
        <v>111</v>
      </c>
      <c r="J53" s="36" t="s">
        <v>112</v>
      </c>
      <c r="K53" s="37" t="s">
        <v>113</v>
      </c>
      <c r="L53" s="38" t="s">
        <v>114</v>
      </c>
      <c r="M53" s="34" t="s">
        <v>115</v>
      </c>
    </row>
    <row r="54" spans="1:13">
      <c r="A54" s="168" t="s">
        <v>64</v>
      </c>
      <c r="B54" s="30">
        <v>42095</v>
      </c>
      <c r="C54" s="18" t="s">
        <v>46</v>
      </c>
      <c r="D54" s="31"/>
      <c r="E54" s="31"/>
      <c r="F54" s="31"/>
      <c r="G54" s="31"/>
      <c r="H54" s="31"/>
      <c r="I54" s="31"/>
      <c r="J54" s="32"/>
      <c r="K54" s="18"/>
      <c r="L54" s="18"/>
      <c r="M54" s="54"/>
    </row>
    <row r="55" spans="1:13">
      <c r="A55" s="169"/>
      <c r="B55" s="22">
        <v>42096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42097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42098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42099</v>
      </c>
      <c r="C58" s="1" t="s">
        <v>46</v>
      </c>
      <c r="D58" s="3">
        <v>9</v>
      </c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42100</v>
      </c>
      <c r="C59" s="1" t="s">
        <v>46</v>
      </c>
      <c r="D59" s="3">
        <v>9</v>
      </c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42101</v>
      </c>
      <c r="C60" s="1" t="s">
        <v>46</v>
      </c>
      <c r="D60" s="3"/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42102</v>
      </c>
      <c r="C61" s="1" t="s">
        <v>46</v>
      </c>
      <c r="D61" s="3"/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42103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42104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42105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42106</v>
      </c>
      <c r="C65" s="1" t="s">
        <v>46</v>
      </c>
      <c r="D65" s="3">
        <v>9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42107</v>
      </c>
      <c r="C66" s="1" t="s">
        <v>46</v>
      </c>
      <c r="D66" s="3">
        <v>9</v>
      </c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42108</v>
      </c>
      <c r="C67" s="1" t="s">
        <v>46</v>
      </c>
      <c r="D67" s="3"/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42109</v>
      </c>
      <c r="C68" s="1" t="s">
        <v>46</v>
      </c>
      <c r="D68" s="3"/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42110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42111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42112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42113</v>
      </c>
      <c r="C72" s="1" t="s">
        <v>46</v>
      </c>
      <c r="D72" s="3">
        <v>9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42114</v>
      </c>
      <c r="C73" s="1" t="s">
        <v>46</v>
      </c>
      <c r="D73" s="3">
        <v>9</v>
      </c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42115</v>
      </c>
      <c r="C74" s="1" t="s">
        <v>46</v>
      </c>
      <c r="D74" s="3"/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42116</v>
      </c>
      <c r="C75" s="1" t="s">
        <v>46</v>
      </c>
      <c r="D75" s="3"/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42117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42118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42119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42120</v>
      </c>
      <c r="C79" s="1" t="s">
        <v>46</v>
      </c>
      <c r="D79" s="3">
        <v>9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42121</v>
      </c>
      <c r="C80" s="1" t="s">
        <v>46</v>
      </c>
      <c r="D80" s="3">
        <v>9</v>
      </c>
      <c r="E80" s="3"/>
      <c r="F80" s="3"/>
      <c r="G80" s="3"/>
      <c r="H80" s="3"/>
      <c r="I80" s="3"/>
      <c r="J80" s="29"/>
      <c r="K80" s="1"/>
      <c r="L80" s="1"/>
      <c r="M80" s="54"/>
    </row>
    <row r="81" spans="1:18">
      <c r="A81" s="169"/>
      <c r="B81" s="22">
        <v>42122</v>
      </c>
      <c r="C81" s="1" t="s">
        <v>46</v>
      </c>
      <c r="D81" s="3"/>
      <c r="E81" s="3"/>
      <c r="F81" s="3"/>
      <c r="G81" s="3"/>
      <c r="H81" s="3"/>
      <c r="I81" s="3"/>
      <c r="J81" s="29"/>
      <c r="K81" s="1"/>
      <c r="L81" s="1"/>
      <c r="M81" s="54"/>
    </row>
    <row r="82" spans="1:18">
      <c r="A82" s="169"/>
      <c r="B82" s="22">
        <v>42123</v>
      </c>
      <c r="C82" s="1" t="s">
        <v>46</v>
      </c>
      <c r="D82" s="3"/>
      <c r="E82" s="3"/>
      <c r="F82" s="3"/>
      <c r="G82" s="3"/>
      <c r="H82" s="3"/>
      <c r="I82" s="3"/>
      <c r="J82" s="29"/>
      <c r="K82" s="1"/>
      <c r="L82" s="1"/>
      <c r="M82" s="54"/>
    </row>
    <row r="83" spans="1:18" ht="15.75" thickBot="1">
      <c r="A83" s="169"/>
      <c r="B83" s="23">
        <v>42124</v>
      </c>
      <c r="C83" s="1" t="s">
        <v>46</v>
      </c>
      <c r="D83" s="19">
        <v>9</v>
      </c>
      <c r="E83" s="3"/>
      <c r="F83" s="3"/>
      <c r="G83" s="3"/>
      <c r="H83" s="3"/>
      <c r="I83" s="3"/>
      <c r="J83" s="1"/>
      <c r="K83" s="1"/>
      <c r="L83" s="1"/>
      <c r="M83" s="54"/>
    </row>
    <row r="84" spans="1:18" ht="15.75" thickBot="1">
      <c r="A84" s="170"/>
      <c r="B84" s="24" t="s">
        <v>92</v>
      </c>
      <c r="C84" s="20"/>
      <c r="D84" s="21">
        <f>SUM(D54:D83)</f>
        <v>189</v>
      </c>
      <c r="E84"/>
      <c r="F84"/>
      <c r="G84"/>
      <c r="H84"/>
      <c r="I84"/>
    </row>
    <row r="85" spans="1:18" ht="15.75" thickBot="1">
      <c r="A85" s="149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1"/>
    </row>
    <row r="86" spans="1:18">
      <c r="B86"/>
      <c r="D86"/>
      <c r="E86"/>
      <c r="F86"/>
      <c r="G86"/>
      <c r="H86"/>
      <c r="I86"/>
    </row>
    <row r="87" spans="1:18">
      <c r="B87"/>
      <c r="D87"/>
      <c r="E87"/>
      <c r="F87"/>
      <c r="G87"/>
      <c r="H87"/>
      <c r="I87"/>
    </row>
    <row r="88" spans="1:18" ht="15.75" thickBot="1">
      <c r="B88"/>
      <c r="D88"/>
      <c r="E88"/>
      <c r="F88"/>
      <c r="G88"/>
      <c r="H88"/>
      <c r="I88"/>
    </row>
    <row r="89" spans="1:18" ht="15.75" thickBot="1">
      <c r="E89" s="161" t="s">
        <v>110</v>
      </c>
      <c r="F89" s="162"/>
      <c r="G89" s="162"/>
      <c r="H89" s="163"/>
      <c r="I89" s="164" t="s">
        <v>116</v>
      </c>
      <c r="J89" s="165"/>
      <c r="K89" s="165"/>
      <c r="L89" s="166"/>
    </row>
    <row r="90" spans="1:18" ht="15.75" thickBot="1">
      <c r="A90" s="55" t="s">
        <v>91</v>
      </c>
      <c r="B90" s="33" t="s">
        <v>109</v>
      </c>
      <c r="C90" s="34" t="s">
        <v>11</v>
      </c>
      <c r="D90" s="34" t="s">
        <v>10</v>
      </c>
      <c r="E90" s="35" t="s">
        <v>111</v>
      </c>
      <c r="F90" s="36" t="s">
        <v>112</v>
      </c>
      <c r="G90" s="37" t="s">
        <v>113</v>
      </c>
      <c r="H90" s="38" t="s">
        <v>114</v>
      </c>
      <c r="I90" s="35" t="s">
        <v>111</v>
      </c>
      <c r="J90" s="36" t="s">
        <v>112</v>
      </c>
      <c r="K90" s="37" t="s">
        <v>113</v>
      </c>
      <c r="L90" s="38" t="s">
        <v>114</v>
      </c>
      <c r="M90" s="34" t="s">
        <v>115</v>
      </c>
    </row>
    <row r="91" spans="1:18">
      <c r="A91" s="171" t="s">
        <v>58</v>
      </c>
      <c r="B91" s="30">
        <v>42095</v>
      </c>
      <c r="C91" s="18" t="s">
        <v>46</v>
      </c>
      <c r="D91" s="31"/>
      <c r="E91" s="31"/>
      <c r="F91" s="31"/>
      <c r="G91" s="31"/>
      <c r="H91" s="31"/>
      <c r="I91" s="31"/>
      <c r="J91" s="32"/>
      <c r="K91" s="18"/>
      <c r="L91" s="18"/>
      <c r="M91" s="54"/>
    </row>
    <row r="92" spans="1:18">
      <c r="A92" s="171"/>
      <c r="B92" s="22">
        <v>42096</v>
      </c>
      <c r="C92" s="1" t="s">
        <v>46</v>
      </c>
      <c r="D92" s="3">
        <v>9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8">
      <c r="A93" s="171"/>
      <c r="B93" s="22">
        <v>42097</v>
      </c>
      <c r="C93" s="1" t="s">
        <v>46</v>
      </c>
      <c r="D93" s="3">
        <v>9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8">
      <c r="A94" s="171"/>
      <c r="B94" s="22">
        <v>42098</v>
      </c>
      <c r="C94" s="1" t="s">
        <v>46</v>
      </c>
      <c r="D94" s="3">
        <v>9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8">
      <c r="A95" s="171"/>
      <c r="B95" s="22">
        <v>42099</v>
      </c>
      <c r="C95" s="1" t="s">
        <v>46</v>
      </c>
      <c r="D95" s="3">
        <v>9</v>
      </c>
      <c r="E95" s="3"/>
      <c r="F95" s="3"/>
      <c r="G95" s="3"/>
      <c r="H95" s="3"/>
      <c r="I95" s="3"/>
      <c r="J95" s="29"/>
      <c r="K95" s="1"/>
      <c r="L95" s="1"/>
      <c r="M95" s="54"/>
    </row>
    <row r="96" spans="1:18">
      <c r="A96" s="171"/>
      <c r="B96" s="22">
        <v>42100</v>
      </c>
      <c r="C96" s="1" t="s">
        <v>46</v>
      </c>
      <c r="D96" s="3">
        <v>9</v>
      </c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71"/>
      <c r="B97" s="22">
        <v>42101</v>
      </c>
      <c r="C97" s="1" t="s">
        <v>46</v>
      </c>
      <c r="D97" s="3"/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71"/>
      <c r="B98" s="22">
        <v>42102</v>
      </c>
      <c r="C98" s="1" t="s">
        <v>46</v>
      </c>
      <c r="D98" s="3"/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71"/>
      <c r="B99" s="22">
        <v>42103</v>
      </c>
      <c r="C99" s="1" t="s">
        <v>46</v>
      </c>
      <c r="D99" s="3">
        <v>9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71"/>
      <c r="B100" s="22">
        <v>42104</v>
      </c>
      <c r="C100" s="1" t="s">
        <v>46</v>
      </c>
      <c r="D100" s="3">
        <v>9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71"/>
      <c r="B101" s="22">
        <v>42105</v>
      </c>
      <c r="C101" s="1" t="s">
        <v>46</v>
      </c>
      <c r="D101" s="3">
        <v>9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71"/>
      <c r="B102" s="22">
        <v>42106</v>
      </c>
      <c r="C102" s="1" t="s">
        <v>46</v>
      </c>
      <c r="D102" s="3">
        <v>9</v>
      </c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71"/>
      <c r="B103" s="22">
        <v>42107</v>
      </c>
      <c r="C103" s="1" t="s">
        <v>46</v>
      </c>
      <c r="D103" s="3">
        <v>9</v>
      </c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71"/>
      <c r="B104" s="22">
        <v>42108</v>
      </c>
      <c r="C104" s="1" t="s">
        <v>46</v>
      </c>
      <c r="D104" s="3"/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71"/>
      <c r="B105" s="22">
        <v>42109</v>
      </c>
      <c r="C105" s="1" t="s">
        <v>46</v>
      </c>
      <c r="D105" s="3"/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71"/>
      <c r="B106" s="22">
        <v>42110</v>
      </c>
      <c r="C106" s="1" t="s">
        <v>46</v>
      </c>
      <c r="D106" s="3">
        <v>9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71"/>
      <c r="B107" s="22">
        <v>42111</v>
      </c>
      <c r="C107" s="1" t="s">
        <v>46</v>
      </c>
      <c r="D107" s="3">
        <v>9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71"/>
      <c r="B108" s="22">
        <v>42112</v>
      </c>
      <c r="C108" s="1" t="s">
        <v>46</v>
      </c>
      <c r="D108" s="3">
        <v>9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71"/>
      <c r="B109" s="22">
        <v>42113</v>
      </c>
      <c r="C109" s="1" t="s">
        <v>46</v>
      </c>
      <c r="D109" s="3">
        <v>9</v>
      </c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71"/>
      <c r="B110" s="22">
        <v>42114</v>
      </c>
      <c r="C110" s="1" t="s">
        <v>46</v>
      </c>
      <c r="D110" s="3">
        <v>9</v>
      </c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71"/>
      <c r="B111" s="22">
        <v>42115</v>
      </c>
      <c r="C111" s="1" t="s">
        <v>46</v>
      </c>
      <c r="D111" s="3"/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71"/>
      <c r="B112" s="22">
        <v>42116</v>
      </c>
      <c r="C112" s="1" t="s">
        <v>46</v>
      </c>
      <c r="D112" s="3"/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71"/>
      <c r="B113" s="22">
        <v>42117</v>
      </c>
      <c r="C113" s="1" t="s">
        <v>46</v>
      </c>
      <c r="D113" s="3">
        <v>9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71"/>
      <c r="B114" s="22">
        <v>42118</v>
      </c>
      <c r="C114" s="1" t="s">
        <v>46</v>
      </c>
      <c r="D114" s="3">
        <v>9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71"/>
      <c r="B115" s="22">
        <v>42119</v>
      </c>
      <c r="C115" s="1" t="s">
        <v>46</v>
      </c>
      <c r="D115" s="3">
        <v>9</v>
      </c>
      <c r="E115" s="3"/>
      <c r="F115" s="3"/>
      <c r="G115" s="3"/>
      <c r="H115" s="3"/>
      <c r="I115" s="3"/>
      <c r="J115" s="29"/>
      <c r="K115" s="1"/>
      <c r="L115" s="1"/>
      <c r="M115" s="54"/>
    </row>
    <row r="116" spans="1:18">
      <c r="A116" s="171"/>
      <c r="B116" s="22">
        <v>42120</v>
      </c>
      <c r="C116" s="1" t="s">
        <v>46</v>
      </c>
      <c r="D116" s="3">
        <v>9</v>
      </c>
      <c r="E116" s="3"/>
      <c r="F116" s="3"/>
      <c r="G116" s="3"/>
      <c r="H116" s="3"/>
      <c r="I116" s="3"/>
      <c r="J116" s="29"/>
      <c r="K116" s="1"/>
      <c r="L116" s="1"/>
      <c r="M116" s="54"/>
    </row>
    <row r="117" spans="1:18">
      <c r="A117" s="171"/>
      <c r="B117" s="22">
        <v>42121</v>
      </c>
      <c r="C117" s="1" t="s">
        <v>46</v>
      </c>
      <c r="D117" s="3">
        <v>9</v>
      </c>
      <c r="E117" s="3"/>
      <c r="F117" s="3"/>
      <c r="G117" s="3"/>
      <c r="H117" s="3"/>
      <c r="I117" s="3"/>
      <c r="J117" s="29"/>
      <c r="K117" s="1"/>
      <c r="L117" s="1"/>
      <c r="M117" s="54"/>
    </row>
    <row r="118" spans="1:18">
      <c r="A118" s="171"/>
      <c r="B118" s="22">
        <v>42122</v>
      </c>
      <c r="C118" s="1" t="s">
        <v>46</v>
      </c>
      <c r="D118" s="3"/>
      <c r="E118" s="3"/>
      <c r="F118" s="3"/>
      <c r="G118" s="3"/>
      <c r="H118" s="3"/>
      <c r="I118" s="3"/>
      <c r="J118" s="29"/>
      <c r="K118" s="1"/>
      <c r="L118" s="1"/>
      <c r="M118" s="54"/>
    </row>
    <row r="119" spans="1:18">
      <c r="A119" s="171"/>
      <c r="B119" s="22">
        <v>42123</v>
      </c>
      <c r="C119" s="1" t="s">
        <v>46</v>
      </c>
      <c r="D119" s="3"/>
      <c r="E119" s="3"/>
      <c r="F119" s="3"/>
      <c r="G119" s="3"/>
      <c r="H119" s="3"/>
      <c r="I119" s="3"/>
      <c r="J119" s="29"/>
      <c r="K119" s="1"/>
      <c r="L119" s="1"/>
      <c r="M119" s="54"/>
    </row>
    <row r="120" spans="1:18" ht="15.75" thickBot="1">
      <c r="A120" s="171"/>
      <c r="B120" s="23">
        <v>42124</v>
      </c>
      <c r="C120" s="1" t="s">
        <v>46</v>
      </c>
      <c r="D120" s="19">
        <v>9</v>
      </c>
      <c r="E120" s="3"/>
      <c r="F120" s="3"/>
      <c r="G120" s="3"/>
      <c r="H120" s="3"/>
      <c r="I120" s="3"/>
      <c r="J120" s="1"/>
      <c r="K120" s="1"/>
      <c r="L120" s="1"/>
      <c r="M120" s="54"/>
    </row>
    <row r="121" spans="1:18" ht="15.75" thickBot="1">
      <c r="A121" s="171"/>
      <c r="B121" s="24" t="s">
        <v>92</v>
      </c>
      <c r="C121" s="20"/>
      <c r="D121" s="21">
        <f>SUM(D91:D120)</f>
        <v>189</v>
      </c>
      <c r="E121"/>
      <c r="F121"/>
      <c r="G121"/>
      <c r="H121"/>
      <c r="I121"/>
    </row>
    <row r="122" spans="1:18" ht="15.75" thickBot="1">
      <c r="A122" s="149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1"/>
    </row>
    <row r="123" spans="1:18">
      <c r="B123"/>
      <c r="D123"/>
      <c r="E123"/>
      <c r="F123"/>
      <c r="G123"/>
      <c r="H123"/>
      <c r="I123"/>
    </row>
    <row r="124" spans="1:18">
      <c r="B124"/>
      <c r="D124"/>
      <c r="E124"/>
      <c r="F124"/>
      <c r="G124"/>
      <c r="H124"/>
      <c r="I124"/>
    </row>
    <row r="125" spans="1:18">
      <c r="B125"/>
      <c r="D125"/>
      <c r="E125"/>
      <c r="F125"/>
      <c r="G125"/>
      <c r="H125"/>
      <c r="I125"/>
    </row>
    <row r="126" spans="1:18" ht="15.75" thickBot="1">
      <c r="B126"/>
      <c r="D126"/>
      <c r="E126"/>
      <c r="F126"/>
      <c r="G126"/>
      <c r="H126"/>
      <c r="I126"/>
    </row>
    <row r="127" spans="1:18" ht="15.75" thickBot="1">
      <c r="E127" s="161" t="s">
        <v>110</v>
      </c>
      <c r="F127" s="162"/>
      <c r="G127" s="162"/>
      <c r="H127" s="163"/>
      <c r="I127" s="164" t="s">
        <v>116</v>
      </c>
      <c r="J127" s="165"/>
      <c r="K127" s="165"/>
      <c r="L127" s="166"/>
    </row>
    <row r="128" spans="1:18" ht="15.75" thickBot="1">
      <c r="A128" s="55" t="s">
        <v>91</v>
      </c>
      <c r="B128" s="33" t="s">
        <v>109</v>
      </c>
      <c r="C128" s="34" t="s">
        <v>11</v>
      </c>
      <c r="D128" s="34" t="s">
        <v>10</v>
      </c>
      <c r="E128" s="35" t="s">
        <v>111</v>
      </c>
      <c r="F128" s="36" t="s">
        <v>112</v>
      </c>
      <c r="G128" s="37" t="s">
        <v>113</v>
      </c>
      <c r="H128" s="38" t="s">
        <v>114</v>
      </c>
      <c r="I128" s="35" t="s">
        <v>111</v>
      </c>
      <c r="J128" s="36" t="s">
        <v>112</v>
      </c>
      <c r="K128" s="37" t="s">
        <v>113</v>
      </c>
      <c r="L128" s="38" t="s">
        <v>114</v>
      </c>
      <c r="M128" s="34" t="s">
        <v>115</v>
      </c>
    </row>
    <row r="129" spans="1:13">
      <c r="A129" s="158" t="s">
        <v>66</v>
      </c>
      <c r="B129" s="30">
        <v>42095</v>
      </c>
      <c r="C129" s="18" t="s">
        <v>46</v>
      </c>
      <c r="D129" s="31"/>
      <c r="E129" s="31"/>
      <c r="F129" s="31"/>
      <c r="G129" s="31"/>
      <c r="H129" s="31"/>
      <c r="I129" s="31"/>
      <c r="J129" s="32"/>
      <c r="K129" s="18"/>
      <c r="L129" s="18"/>
      <c r="M129" s="54"/>
    </row>
    <row r="130" spans="1:13">
      <c r="A130" s="159"/>
      <c r="B130" s="22">
        <v>42096</v>
      </c>
      <c r="C130" s="1" t="s">
        <v>46</v>
      </c>
      <c r="D130" s="3">
        <v>9</v>
      </c>
      <c r="E130" s="3"/>
      <c r="F130" s="3"/>
      <c r="G130" s="3"/>
      <c r="H130" s="3"/>
      <c r="I130" s="3"/>
      <c r="J130" s="29"/>
      <c r="K130" s="1"/>
      <c r="L130" s="1"/>
      <c r="M130" s="54"/>
    </row>
    <row r="131" spans="1:13">
      <c r="A131" s="159"/>
      <c r="B131" s="22">
        <v>42097</v>
      </c>
      <c r="C131" s="1" t="s">
        <v>46</v>
      </c>
      <c r="D131" s="3">
        <v>9</v>
      </c>
      <c r="E131" s="3"/>
      <c r="F131" s="3"/>
      <c r="G131" s="3"/>
      <c r="H131" s="3"/>
      <c r="I131" s="3"/>
      <c r="J131" s="29"/>
      <c r="K131" s="1"/>
      <c r="L131" s="1"/>
      <c r="M131" s="54"/>
    </row>
    <row r="132" spans="1:13">
      <c r="A132" s="159"/>
      <c r="B132" s="22">
        <v>42098</v>
      </c>
      <c r="C132" s="1" t="s">
        <v>46</v>
      </c>
      <c r="D132" s="3">
        <v>9</v>
      </c>
      <c r="E132" s="3"/>
      <c r="F132" s="3"/>
      <c r="G132" s="3"/>
      <c r="H132" s="3"/>
      <c r="I132" s="3"/>
      <c r="J132" s="29"/>
      <c r="K132" s="1"/>
      <c r="L132" s="1"/>
      <c r="M132" s="54"/>
    </row>
    <row r="133" spans="1:13">
      <c r="A133" s="159"/>
      <c r="B133" s="22">
        <v>42099</v>
      </c>
      <c r="C133" s="1" t="s">
        <v>46</v>
      </c>
      <c r="D133" s="3">
        <v>9</v>
      </c>
      <c r="E133" s="3"/>
      <c r="F133" s="3"/>
      <c r="G133" s="3"/>
      <c r="H133" s="3"/>
      <c r="I133" s="3"/>
      <c r="J133" s="29"/>
      <c r="K133" s="1"/>
      <c r="L133" s="1"/>
      <c r="M133" s="54"/>
    </row>
    <row r="134" spans="1:13">
      <c r="A134" s="159"/>
      <c r="B134" s="22">
        <v>42100</v>
      </c>
      <c r="C134" s="1" t="s">
        <v>46</v>
      </c>
      <c r="D134" s="3">
        <v>9</v>
      </c>
      <c r="E134" s="3"/>
      <c r="F134" s="3"/>
      <c r="G134" s="3"/>
      <c r="H134" s="3"/>
      <c r="I134" s="3"/>
      <c r="J134" s="29"/>
      <c r="K134" s="1"/>
      <c r="L134" s="1"/>
      <c r="M134" s="54"/>
    </row>
    <row r="135" spans="1:13">
      <c r="A135" s="159"/>
      <c r="B135" s="22">
        <v>42101</v>
      </c>
      <c r="C135" s="1" t="s">
        <v>46</v>
      </c>
      <c r="D135" s="3"/>
      <c r="E135" s="3"/>
      <c r="F135" s="3"/>
      <c r="G135" s="3"/>
      <c r="H135" s="3"/>
      <c r="I135" s="3"/>
      <c r="J135" s="29"/>
      <c r="K135" s="1"/>
      <c r="L135" s="1"/>
      <c r="M135" s="54"/>
    </row>
    <row r="136" spans="1:13">
      <c r="A136" s="159"/>
      <c r="B136" s="22">
        <v>42102</v>
      </c>
      <c r="C136" s="1" t="s">
        <v>46</v>
      </c>
      <c r="D136" s="3"/>
      <c r="E136" s="3"/>
      <c r="F136" s="3"/>
      <c r="G136" s="3"/>
      <c r="H136" s="3"/>
      <c r="I136" s="3"/>
      <c r="J136" s="29"/>
      <c r="K136" s="1"/>
      <c r="L136" s="1"/>
      <c r="M136" s="54"/>
    </row>
    <row r="137" spans="1:13">
      <c r="A137" s="159"/>
      <c r="B137" s="22">
        <v>42103</v>
      </c>
      <c r="C137" s="1" t="s">
        <v>46</v>
      </c>
      <c r="D137" s="3">
        <v>9</v>
      </c>
      <c r="E137" s="3"/>
      <c r="F137" s="3"/>
      <c r="G137" s="3"/>
      <c r="H137" s="3"/>
      <c r="I137" s="3"/>
      <c r="J137" s="29"/>
      <c r="K137" s="1"/>
      <c r="L137" s="1"/>
      <c r="M137" s="54"/>
    </row>
    <row r="138" spans="1:13">
      <c r="A138" s="159"/>
      <c r="B138" s="22">
        <v>42104</v>
      </c>
      <c r="C138" s="1" t="s">
        <v>46</v>
      </c>
      <c r="D138" s="3">
        <v>9</v>
      </c>
      <c r="E138" s="3"/>
      <c r="F138" s="3"/>
      <c r="G138" s="3"/>
      <c r="H138" s="3"/>
      <c r="I138" s="3"/>
      <c r="J138" s="29"/>
      <c r="K138" s="1"/>
      <c r="L138" s="1"/>
      <c r="M138" s="54"/>
    </row>
    <row r="139" spans="1:13">
      <c r="A139" s="159"/>
      <c r="B139" s="22">
        <v>42105</v>
      </c>
      <c r="C139" s="1" t="s">
        <v>46</v>
      </c>
      <c r="D139" s="3">
        <v>9</v>
      </c>
      <c r="E139" s="3"/>
      <c r="F139" s="3"/>
      <c r="G139" s="3"/>
      <c r="H139" s="3"/>
      <c r="I139" s="3"/>
      <c r="J139" s="29"/>
      <c r="K139" s="1"/>
      <c r="L139" s="1"/>
      <c r="M139" s="54"/>
    </row>
    <row r="140" spans="1:13">
      <c r="A140" s="159"/>
      <c r="B140" s="22">
        <v>42106</v>
      </c>
      <c r="C140" s="1" t="s">
        <v>46</v>
      </c>
      <c r="D140" s="3">
        <v>9</v>
      </c>
      <c r="E140" s="3"/>
      <c r="F140" s="3"/>
      <c r="G140" s="3"/>
      <c r="H140" s="3"/>
      <c r="I140" s="3"/>
      <c r="J140" s="29"/>
      <c r="K140" s="1"/>
      <c r="L140" s="1"/>
      <c r="M140" s="54"/>
    </row>
    <row r="141" spans="1:13">
      <c r="A141" s="159"/>
      <c r="B141" s="22">
        <v>42107</v>
      </c>
      <c r="C141" s="1" t="s">
        <v>46</v>
      </c>
      <c r="D141" s="3">
        <v>9</v>
      </c>
      <c r="E141" s="3"/>
      <c r="F141" s="3"/>
      <c r="G141" s="3"/>
      <c r="H141" s="3"/>
      <c r="I141" s="3"/>
      <c r="J141" s="29"/>
      <c r="K141" s="1"/>
      <c r="L141" s="1"/>
      <c r="M141" s="54"/>
    </row>
    <row r="142" spans="1:13">
      <c r="A142" s="159"/>
      <c r="B142" s="22">
        <v>42108</v>
      </c>
      <c r="C142" s="1" t="s">
        <v>46</v>
      </c>
      <c r="D142" s="3"/>
      <c r="E142" s="3"/>
      <c r="F142" s="3"/>
      <c r="G142" s="3"/>
      <c r="H142" s="3"/>
      <c r="I142" s="3"/>
      <c r="J142" s="29"/>
      <c r="K142" s="1"/>
      <c r="L142" s="1"/>
      <c r="M142" s="54"/>
    </row>
    <row r="143" spans="1:13">
      <c r="A143" s="159"/>
      <c r="B143" s="22">
        <v>42109</v>
      </c>
      <c r="C143" s="1" t="s">
        <v>46</v>
      </c>
      <c r="D143" s="3"/>
      <c r="E143" s="3"/>
      <c r="F143" s="3"/>
      <c r="G143" s="3"/>
      <c r="H143" s="3"/>
      <c r="I143" s="3"/>
      <c r="J143" s="29"/>
      <c r="K143" s="1"/>
      <c r="L143" s="1"/>
      <c r="M143" s="54"/>
    </row>
    <row r="144" spans="1:13">
      <c r="A144" s="159"/>
      <c r="B144" s="22">
        <v>42110</v>
      </c>
      <c r="C144" s="1" t="s">
        <v>46</v>
      </c>
      <c r="D144" s="3">
        <v>9</v>
      </c>
      <c r="E144" s="3"/>
      <c r="F144" s="3"/>
      <c r="G144" s="3"/>
      <c r="H144" s="3"/>
      <c r="I144" s="3"/>
      <c r="J144" s="29"/>
      <c r="K144" s="1"/>
      <c r="L144" s="1"/>
      <c r="M144" s="54"/>
    </row>
    <row r="145" spans="1:18">
      <c r="A145" s="159"/>
      <c r="B145" s="22">
        <v>42111</v>
      </c>
      <c r="C145" s="1" t="s">
        <v>46</v>
      </c>
      <c r="D145" s="3">
        <v>9</v>
      </c>
      <c r="E145" s="3"/>
      <c r="F145" s="3"/>
      <c r="G145" s="3"/>
      <c r="H145" s="3"/>
      <c r="I145" s="3"/>
      <c r="J145" s="29"/>
      <c r="K145" s="1"/>
      <c r="L145" s="1"/>
      <c r="M145" s="54"/>
    </row>
    <row r="146" spans="1:18">
      <c r="A146" s="159"/>
      <c r="B146" s="22">
        <v>42112</v>
      </c>
      <c r="C146" s="1" t="s">
        <v>46</v>
      </c>
      <c r="D146" s="3">
        <v>9</v>
      </c>
      <c r="E146" s="3"/>
      <c r="F146" s="3"/>
      <c r="G146" s="3"/>
      <c r="H146" s="3"/>
      <c r="I146" s="3"/>
      <c r="J146" s="29"/>
      <c r="K146" s="1"/>
      <c r="L146" s="1"/>
      <c r="M146" s="54"/>
    </row>
    <row r="147" spans="1:18">
      <c r="A147" s="159"/>
      <c r="B147" s="22">
        <v>42113</v>
      </c>
      <c r="C147" s="1" t="s">
        <v>46</v>
      </c>
      <c r="D147" s="3">
        <v>9</v>
      </c>
      <c r="E147" s="3"/>
      <c r="F147" s="3"/>
      <c r="G147" s="3"/>
      <c r="H147" s="3"/>
      <c r="I147" s="3"/>
      <c r="J147" s="29"/>
      <c r="K147" s="1"/>
      <c r="L147" s="1"/>
      <c r="M147" s="54"/>
    </row>
    <row r="148" spans="1:18">
      <c r="A148" s="159"/>
      <c r="B148" s="22">
        <v>42114</v>
      </c>
      <c r="C148" s="1" t="s">
        <v>46</v>
      </c>
      <c r="D148" s="3">
        <v>9</v>
      </c>
      <c r="E148" s="3"/>
      <c r="F148" s="3"/>
      <c r="G148" s="3"/>
      <c r="H148" s="3"/>
      <c r="I148" s="3"/>
      <c r="J148" s="29"/>
      <c r="K148" s="1"/>
      <c r="L148" s="1"/>
      <c r="M148" s="54"/>
    </row>
    <row r="149" spans="1:18">
      <c r="A149" s="159"/>
      <c r="B149" s="22">
        <v>42115</v>
      </c>
      <c r="C149" s="1" t="s">
        <v>46</v>
      </c>
      <c r="D149" s="3"/>
      <c r="E149" s="3"/>
      <c r="F149" s="3"/>
      <c r="G149" s="3"/>
      <c r="H149" s="3"/>
      <c r="I149" s="3"/>
      <c r="J149" s="29"/>
      <c r="K149" s="1"/>
      <c r="L149" s="1"/>
      <c r="M149" s="54"/>
    </row>
    <row r="150" spans="1:18">
      <c r="A150" s="159"/>
      <c r="B150" s="22">
        <v>42116</v>
      </c>
      <c r="C150" s="1" t="s">
        <v>46</v>
      </c>
      <c r="D150" s="3"/>
      <c r="E150" s="3"/>
      <c r="F150" s="3"/>
      <c r="G150" s="3"/>
      <c r="H150" s="3"/>
      <c r="I150" s="3"/>
      <c r="J150" s="29"/>
      <c r="K150" s="1"/>
      <c r="L150" s="1"/>
      <c r="M150" s="54"/>
    </row>
    <row r="151" spans="1:18">
      <c r="A151" s="159"/>
      <c r="B151" s="22">
        <v>42117</v>
      </c>
      <c r="C151" s="1" t="s">
        <v>46</v>
      </c>
      <c r="D151" s="3">
        <v>9</v>
      </c>
      <c r="E151" s="3"/>
      <c r="F151" s="3"/>
      <c r="G151" s="3"/>
      <c r="H151" s="3"/>
      <c r="I151" s="3"/>
      <c r="J151" s="29"/>
      <c r="K151" s="1"/>
      <c r="L151" s="1"/>
      <c r="M151" s="54"/>
    </row>
    <row r="152" spans="1:18">
      <c r="A152" s="159"/>
      <c r="B152" s="22">
        <v>42118</v>
      </c>
      <c r="C152" s="1" t="s">
        <v>46</v>
      </c>
      <c r="D152" s="3">
        <v>9</v>
      </c>
      <c r="E152" s="3"/>
      <c r="F152" s="3"/>
      <c r="G152" s="3"/>
      <c r="H152" s="3"/>
      <c r="I152" s="3"/>
      <c r="J152" s="29"/>
      <c r="K152" s="1"/>
      <c r="L152" s="1"/>
      <c r="M152" s="54"/>
    </row>
    <row r="153" spans="1:18">
      <c r="A153" s="159"/>
      <c r="B153" s="22">
        <v>42119</v>
      </c>
      <c r="C153" s="1" t="s">
        <v>46</v>
      </c>
      <c r="D153" s="3">
        <v>9</v>
      </c>
      <c r="E153" s="3"/>
      <c r="F153" s="3"/>
      <c r="G153" s="3"/>
      <c r="H153" s="3"/>
      <c r="I153" s="3"/>
      <c r="J153" s="29"/>
      <c r="K153" s="1"/>
      <c r="L153" s="1"/>
      <c r="M153" s="54"/>
    </row>
    <row r="154" spans="1:18">
      <c r="A154" s="159"/>
      <c r="B154" s="22">
        <v>42120</v>
      </c>
      <c r="C154" s="1" t="s">
        <v>46</v>
      </c>
      <c r="D154" s="3">
        <v>9</v>
      </c>
      <c r="E154" s="3"/>
      <c r="F154" s="3"/>
      <c r="G154" s="3"/>
      <c r="H154" s="3"/>
      <c r="I154" s="3"/>
      <c r="J154" s="29"/>
      <c r="K154" s="1"/>
      <c r="L154" s="1"/>
      <c r="M154" s="54"/>
    </row>
    <row r="155" spans="1:18">
      <c r="A155" s="159"/>
      <c r="B155" s="22">
        <v>42121</v>
      </c>
      <c r="C155" s="1" t="s">
        <v>46</v>
      </c>
      <c r="D155" s="3">
        <v>9</v>
      </c>
      <c r="E155" s="3"/>
      <c r="F155" s="3"/>
      <c r="G155" s="3"/>
      <c r="H155" s="3"/>
      <c r="I155" s="3"/>
      <c r="J155" s="29"/>
      <c r="K155" s="1"/>
      <c r="L155" s="1"/>
      <c r="M155" s="54"/>
    </row>
    <row r="156" spans="1:18">
      <c r="A156" s="159"/>
      <c r="B156" s="22">
        <v>42122</v>
      </c>
      <c r="C156" s="1" t="s">
        <v>46</v>
      </c>
      <c r="D156" s="3"/>
      <c r="E156" s="3"/>
      <c r="F156" s="3"/>
      <c r="G156" s="3"/>
      <c r="H156" s="3"/>
      <c r="I156" s="3"/>
      <c r="J156" s="29"/>
      <c r="K156" s="1"/>
      <c r="L156" s="1"/>
      <c r="M156" s="54"/>
    </row>
    <row r="157" spans="1:18">
      <c r="A157" s="159"/>
      <c r="B157" s="22">
        <v>42123</v>
      </c>
      <c r="C157" s="1" t="s">
        <v>46</v>
      </c>
      <c r="D157" s="3"/>
      <c r="E157" s="3"/>
      <c r="F157" s="3"/>
      <c r="G157" s="3"/>
      <c r="H157" s="3"/>
      <c r="I157" s="3"/>
      <c r="J157" s="29"/>
      <c r="K157" s="1"/>
      <c r="L157" s="1"/>
      <c r="M157" s="54"/>
    </row>
    <row r="158" spans="1:18" ht="15.75" thickBot="1">
      <c r="A158" s="159"/>
      <c r="B158" s="23">
        <v>42124</v>
      </c>
      <c r="C158" s="1" t="s">
        <v>46</v>
      </c>
      <c r="D158" s="19">
        <v>9</v>
      </c>
      <c r="E158" s="3"/>
      <c r="F158" s="3"/>
      <c r="G158" s="3"/>
      <c r="H158" s="3"/>
      <c r="I158" s="3"/>
      <c r="J158" s="1"/>
      <c r="K158" s="1"/>
      <c r="L158" s="1"/>
      <c r="M158" s="54"/>
    </row>
    <row r="159" spans="1:18" ht="15.75" thickBot="1">
      <c r="A159" s="160"/>
      <c r="B159" s="24" t="s">
        <v>92</v>
      </c>
      <c r="C159" s="20"/>
      <c r="D159" s="21">
        <f>SUM(D129:D158)</f>
        <v>189</v>
      </c>
      <c r="E159"/>
      <c r="F159"/>
      <c r="G159"/>
      <c r="H159"/>
      <c r="I159"/>
    </row>
    <row r="160" spans="1:18" ht="15.75" thickBot="1">
      <c r="A160" s="149"/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1"/>
    </row>
    <row r="161" spans="1:13">
      <c r="B161"/>
      <c r="D161"/>
      <c r="E161"/>
      <c r="F161"/>
      <c r="G161"/>
      <c r="H161"/>
      <c r="I161"/>
    </row>
    <row r="162" spans="1:13">
      <c r="B162"/>
      <c r="D162"/>
      <c r="E162"/>
      <c r="F162"/>
      <c r="G162"/>
      <c r="H162"/>
      <c r="I162"/>
    </row>
    <row r="163" spans="1:13" ht="15.75" thickBot="1">
      <c r="B163"/>
      <c r="D163"/>
      <c r="E163"/>
      <c r="F163"/>
      <c r="G163"/>
      <c r="H163"/>
      <c r="I163"/>
    </row>
    <row r="164" spans="1:13" ht="15.75" thickBot="1">
      <c r="E164" s="161" t="s">
        <v>110</v>
      </c>
      <c r="F164" s="162"/>
      <c r="G164" s="162"/>
      <c r="H164" s="163"/>
      <c r="I164" s="164" t="s">
        <v>116</v>
      </c>
      <c r="J164" s="165"/>
      <c r="K164" s="165"/>
      <c r="L164" s="166"/>
    </row>
    <row r="165" spans="1:13" ht="15.75" thickBot="1">
      <c r="A165" s="55" t="s">
        <v>91</v>
      </c>
      <c r="B165" s="33" t="s">
        <v>109</v>
      </c>
      <c r="C165" s="34" t="s">
        <v>11</v>
      </c>
      <c r="D165" s="34" t="s">
        <v>10</v>
      </c>
      <c r="E165" s="35" t="s">
        <v>111</v>
      </c>
      <c r="F165" s="36" t="s">
        <v>112</v>
      </c>
      <c r="G165" s="37" t="s">
        <v>113</v>
      </c>
      <c r="H165" s="38" t="s">
        <v>114</v>
      </c>
      <c r="I165" s="35" t="s">
        <v>111</v>
      </c>
      <c r="J165" s="36" t="s">
        <v>112</v>
      </c>
      <c r="K165" s="37" t="s">
        <v>113</v>
      </c>
      <c r="L165" s="38" t="s">
        <v>114</v>
      </c>
      <c r="M165" s="34" t="s">
        <v>115</v>
      </c>
    </row>
    <row r="166" spans="1:13">
      <c r="A166" s="155" t="s">
        <v>67</v>
      </c>
      <c r="B166" s="30">
        <v>42095</v>
      </c>
      <c r="C166" s="18" t="s">
        <v>46</v>
      </c>
      <c r="D166" s="31"/>
      <c r="E166" s="31"/>
      <c r="F166" s="31"/>
      <c r="G166" s="31"/>
      <c r="H166" s="31"/>
      <c r="I166" s="31"/>
      <c r="J166" s="32"/>
      <c r="K166" s="18"/>
      <c r="L166" s="18"/>
      <c r="M166" s="54"/>
    </row>
    <row r="167" spans="1:13">
      <c r="A167" s="156"/>
      <c r="B167" s="22">
        <v>42096</v>
      </c>
      <c r="C167" s="1" t="s">
        <v>46</v>
      </c>
      <c r="D167" s="3">
        <v>9</v>
      </c>
      <c r="E167" s="3"/>
      <c r="F167" s="3"/>
      <c r="G167" s="3"/>
      <c r="H167" s="3"/>
      <c r="I167" s="3"/>
      <c r="J167" s="29"/>
      <c r="K167" s="1"/>
      <c r="L167" s="1"/>
      <c r="M167" s="54"/>
    </row>
    <row r="168" spans="1:13">
      <c r="A168" s="156"/>
      <c r="B168" s="22">
        <v>42097</v>
      </c>
      <c r="C168" s="1" t="s">
        <v>46</v>
      </c>
      <c r="D168" s="3">
        <v>9</v>
      </c>
      <c r="E168" s="3"/>
      <c r="F168" s="3"/>
      <c r="G168" s="3"/>
      <c r="H168" s="3"/>
      <c r="I168" s="3"/>
      <c r="J168" s="29"/>
      <c r="K168" s="1"/>
      <c r="L168" s="1"/>
      <c r="M168" s="54"/>
    </row>
    <row r="169" spans="1:13">
      <c r="A169" s="156"/>
      <c r="B169" s="22">
        <v>42098</v>
      </c>
      <c r="C169" s="1" t="s">
        <v>46</v>
      </c>
      <c r="D169" s="3">
        <v>9</v>
      </c>
      <c r="E169" s="3"/>
      <c r="F169" s="3"/>
      <c r="G169" s="3"/>
      <c r="H169" s="3"/>
      <c r="I169" s="3"/>
      <c r="J169" s="29"/>
      <c r="K169" s="1"/>
      <c r="L169" s="1"/>
      <c r="M169" s="54"/>
    </row>
    <row r="170" spans="1:13">
      <c r="A170" s="156"/>
      <c r="B170" s="22">
        <v>42099</v>
      </c>
      <c r="C170" s="1" t="s">
        <v>46</v>
      </c>
      <c r="D170" s="3">
        <v>9</v>
      </c>
      <c r="E170" s="3"/>
      <c r="F170" s="3"/>
      <c r="G170" s="3"/>
      <c r="H170" s="3"/>
      <c r="I170" s="3"/>
      <c r="J170" s="29"/>
      <c r="K170" s="1"/>
      <c r="L170" s="1"/>
      <c r="M170" s="54"/>
    </row>
    <row r="171" spans="1:13">
      <c r="A171" s="156"/>
      <c r="B171" s="22">
        <v>42100</v>
      </c>
      <c r="C171" s="1" t="s">
        <v>46</v>
      </c>
      <c r="D171" s="3">
        <v>9</v>
      </c>
      <c r="E171" s="3"/>
      <c r="F171" s="3"/>
      <c r="G171" s="3"/>
      <c r="H171" s="3"/>
      <c r="I171" s="3"/>
      <c r="J171" s="29"/>
      <c r="K171" s="1"/>
      <c r="L171" s="1"/>
      <c r="M171" s="54"/>
    </row>
    <row r="172" spans="1:13">
      <c r="A172" s="156"/>
      <c r="B172" s="22">
        <v>42101</v>
      </c>
      <c r="C172" s="1" t="s">
        <v>46</v>
      </c>
      <c r="D172" s="3"/>
      <c r="E172" s="3"/>
      <c r="F172" s="3"/>
      <c r="G172" s="3"/>
      <c r="H172" s="3"/>
      <c r="I172" s="3"/>
      <c r="J172" s="29"/>
      <c r="K172" s="1"/>
      <c r="L172" s="1"/>
      <c r="M172" s="54"/>
    </row>
    <row r="173" spans="1:13">
      <c r="A173" s="156"/>
      <c r="B173" s="22">
        <v>42102</v>
      </c>
      <c r="C173" s="1" t="s">
        <v>46</v>
      </c>
      <c r="D173" s="3"/>
      <c r="E173" s="3"/>
      <c r="F173" s="3"/>
      <c r="G173" s="3"/>
      <c r="H173" s="3"/>
      <c r="I173" s="3"/>
      <c r="J173" s="29"/>
      <c r="K173" s="1"/>
      <c r="L173" s="1"/>
      <c r="M173" s="54"/>
    </row>
    <row r="174" spans="1:13">
      <c r="A174" s="156"/>
      <c r="B174" s="22">
        <v>42103</v>
      </c>
      <c r="C174" s="1" t="s">
        <v>46</v>
      </c>
      <c r="D174" s="3">
        <v>9</v>
      </c>
      <c r="E174" s="3"/>
      <c r="F174" s="3"/>
      <c r="G174" s="3"/>
      <c r="H174" s="3"/>
      <c r="I174" s="3"/>
      <c r="J174" s="29"/>
      <c r="K174" s="1"/>
      <c r="L174" s="1"/>
      <c r="M174" s="54"/>
    </row>
    <row r="175" spans="1:13">
      <c r="A175" s="156"/>
      <c r="B175" s="22">
        <v>42104</v>
      </c>
      <c r="C175" s="1" t="s">
        <v>46</v>
      </c>
      <c r="D175" s="3">
        <v>9</v>
      </c>
      <c r="E175" s="3"/>
      <c r="F175" s="3"/>
      <c r="G175" s="3"/>
      <c r="H175" s="3"/>
      <c r="I175" s="3"/>
      <c r="J175" s="29"/>
      <c r="K175" s="1"/>
      <c r="L175" s="1"/>
      <c r="M175" s="54"/>
    </row>
    <row r="176" spans="1:13">
      <c r="A176" s="156"/>
      <c r="B176" s="22">
        <v>42105</v>
      </c>
      <c r="C176" s="1" t="s">
        <v>46</v>
      </c>
      <c r="D176" s="3">
        <v>9</v>
      </c>
      <c r="E176" s="3"/>
      <c r="F176" s="3"/>
      <c r="G176" s="3"/>
      <c r="H176" s="3"/>
      <c r="I176" s="3"/>
      <c r="J176" s="29"/>
      <c r="K176" s="1"/>
      <c r="L176" s="1"/>
      <c r="M176" s="54"/>
    </row>
    <row r="177" spans="1:13">
      <c r="A177" s="156"/>
      <c r="B177" s="22">
        <v>42106</v>
      </c>
      <c r="C177" s="1" t="s">
        <v>46</v>
      </c>
      <c r="D177" s="3">
        <v>9</v>
      </c>
      <c r="E177" s="3"/>
      <c r="F177" s="3"/>
      <c r="G177" s="3"/>
      <c r="H177" s="3"/>
      <c r="I177" s="3"/>
      <c r="J177" s="29"/>
      <c r="K177" s="1"/>
      <c r="L177" s="1"/>
      <c r="M177" s="54"/>
    </row>
    <row r="178" spans="1:13">
      <c r="A178" s="156"/>
      <c r="B178" s="22">
        <v>42107</v>
      </c>
      <c r="C178" s="1" t="s">
        <v>46</v>
      </c>
      <c r="D178" s="3">
        <v>9</v>
      </c>
      <c r="E178" s="3"/>
      <c r="F178" s="3"/>
      <c r="G178" s="3"/>
      <c r="H178" s="3"/>
      <c r="I178" s="3"/>
      <c r="J178" s="29"/>
      <c r="K178" s="1"/>
      <c r="L178" s="1"/>
      <c r="M178" s="54"/>
    </row>
    <row r="179" spans="1:13">
      <c r="A179" s="156"/>
      <c r="B179" s="22">
        <v>42108</v>
      </c>
      <c r="C179" s="1" t="s">
        <v>46</v>
      </c>
      <c r="D179" s="3"/>
      <c r="E179" s="3"/>
      <c r="F179" s="3"/>
      <c r="G179" s="3"/>
      <c r="H179" s="3"/>
      <c r="I179" s="3"/>
      <c r="J179" s="29"/>
      <c r="K179" s="1"/>
      <c r="L179" s="1"/>
      <c r="M179" s="54"/>
    </row>
    <row r="180" spans="1:13">
      <c r="A180" s="156"/>
      <c r="B180" s="22">
        <v>42109</v>
      </c>
      <c r="C180" s="1" t="s">
        <v>46</v>
      </c>
      <c r="D180" s="3"/>
      <c r="E180" s="3"/>
      <c r="F180" s="3"/>
      <c r="G180" s="3"/>
      <c r="H180" s="3"/>
      <c r="I180" s="3"/>
      <c r="J180" s="29"/>
      <c r="K180" s="1"/>
      <c r="L180" s="1"/>
      <c r="M180" s="54"/>
    </row>
    <row r="181" spans="1:13">
      <c r="A181" s="156"/>
      <c r="B181" s="22">
        <v>42110</v>
      </c>
      <c r="C181" s="1" t="s">
        <v>46</v>
      </c>
      <c r="D181" s="3">
        <v>9</v>
      </c>
      <c r="E181" s="3"/>
      <c r="F181" s="3"/>
      <c r="G181" s="3"/>
      <c r="H181" s="3"/>
      <c r="I181" s="3"/>
      <c r="J181" s="29"/>
      <c r="K181" s="1"/>
      <c r="L181" s="1"/>
      <c r="M181" s="54"/>
    </row>
    <row r="182" spans="1:13">
      <c r="A182" s="156"/>
      <c r="B182" s="22">
        <v>42111</v>
      </c>
      <c r="C182" s="1" t="s">
        <v>46</v>
      </c>
      <c r="D182" s="3">
        <v>9</v>
      </c>
      <c r="E182" s="3"/>
      <c r="F182" s="3"/>
      <c r="G182" s="3"/>
      <c r="H182" s="3"/>
      <c r="I182" s="3"/>
      <c r="J182" s="29"/>
      <c r="K182" s="1"/>
      <c r="L182" s="1"/>
      <c r="M182" s="54"/>
    </row>
    <row r="183" spans="1:13">
      <c r="A183" s="156"/>
      <c r="B183" s="22">
        <v>42112</v>
      </c>
      <c r="C183" s="1" t="s">
        <v>46</v>
      </c>
      <c r="D183" s="3">
        <v>9</v>
      </c>
      <c r="E183" s="3"/>
      <c r="F183" s="3"/>
      <c r="G183" s="3"/>
      <c r="H183" s="3"/>
      <c r="I183" s="3"/>
      <c r="J183" s="29"/>
      <c r="K183" s="1"/>
      <c r="L183" s="1"/>
      <c r="M183" s="54"/>
    </row>
    <row r="184" spans="1:13">
      <c r="A184" s="156"/>
      <c r="B184" s="22">
        <v>42113</v>
      </c>
      <c r="C184" s="1" t="s">
        <v>46</v>
      </c>
      <c r="D184" s="3">
        <v>9</v>
      </c>
      <c r="E184" s="3"/>
      <c r="F184" s="3"/>
      <c r="G184" s="3"/>
      <c r="H184" s="3"/>
      <c r="I184" s="3"/>
      <c r="J184" s="29"/>
      <c r="K184" s="1"/>
      <c r="L184" s="1"/>
      <c r="M184" s="54"/>
    </row>
    <row r="185" spans="1:13">
      <c r="A185" s="156"/>
      <c r="B185" s="22">
        <v>42114</v>
      </c>
      <c r="C185" s="1" t="s">
        <v>46</v>
      </c>
      <c r="D185" s="3">
        <v>9</v>
      </c>
      <c r="E185" s="3"/>
      <c r="F185" s="3"/>
      <c r="G185" s="3"/>
      <c r="H185" s="3"/>
      <c r="I185" s="3"/>
      <c r="J185" s="29"/>
      <c r="K185" s="1"/>
      <c r="L185" s="1"/>
      <c r="M185" s="54"/>
    </row>
    <row r="186" spans="1:13">
      <c r="A186" s="156"/>
      <c r="B186" s="22">
        <v>42115</v>
      </c>
      <c r="C186" s="1" t="s">
        <v>46</v>
      </c>
      <c r="D186" s="3"/>
      <c r="E186" s="3"/>
      <c r="F186" s="3"/>
      <c r="G186" s="3"/>
      <c r="H186" s="3"/>
      <c r="I186" s="3"/>
      <c r="J186" s="29"/>
      <c r="K186" s="1"/>
      <c r="L186" s="1"/>
      <c r="M186" s="54"/>
    </row>
    <row r="187" spans="1:13">
      <c r="A187" s="156"/>
      <c r="B187" s="22">
        <v>42116</v>
      </c>
      <c r="C187" s="1" t="s">
        <v>46</v>
      </c>
      <c r="D187" s="3">
        <v>7</v>
      </c>
      <c r="E187" s="3"/>
      <c r="F187" s="3"/>
      <c r="G187" s="3"/>
      <c r="H187" s="3"/>
      <c r="I187" s="3"/>
      <c r="J187" s="29"/>
      <c r="K187" s="1"/>
      <c r="L187" s="1"/>
      <c r="M187" s="54"/>
    </row>
    <row r="188" spans="1:13">
      <c r="A188" s="156"/>
      <c r="B188" s="22">
        <v>42117</v>
      </c>
      <c r="C188" s="1" t="s">
        <v>46</v>
      </c>
      <c r="D188" s="3">
        <v>9</v>
      </c>
      <c r="E188" s="3"/>
      <c r="F188" s="3"/>
      <c r="G188" s="3"/>
      <c r="H188" s="3"/>
      <c r="I188" s="3"/>
      <c r="J188" s="29"/>
      <c r="K188" s="1"/>
      <c r="L188" s="1"/>
      <c r="M188" s="54"/>
    </row>
    <row r="189" spans="1:13">
      <c r="A189" s="156"/>
      <c r="B189" s="22">
        <v>42118</v>
      </c>
      <c r="C189" s="1" t="s">
        <v>46</v>
      </c>
      <c r="D189" s="3">
        <v>9</v>
      </c>
      <c r="E189" s="3"/>
      <c r="F189" s="3"/>
      <c r="G189" s="3"/>
      <c r="H189" s="3"/>
      <c r="I189" s="3"/>
      <c r="J189" s="29"/>
      <c r="K189" s="1"/>
      <c r="L189" s="1"/>
      <c r="M189" s="54"/>
    </row>
    <row r="190" spans="1:13">
      <c r="A190" s="156"/>
      <c r="B190" s="22">
        <v>42119</v>
      </c>
      <c r="C190" s="1" t="s">
        <v>46</v>
      </c>
      <c r="D190" s="3">
        <v>9</v>
      </c>
      <c r="E190" s="3"/>
      <c r="F190" s="3"/>
      <c r="G190" s="3"/>
      <c r="H190" s="3"/>
      <c r="I190" s="3"/>
      <c r="J190" s="29"/>
      <c r="K190" s="1"/>
      <c r="L190" s="1"/>
      <c r="M190" s="54"/>
    </row>
    <row r="191" spans="1:13">
      <c r="A191" s="156"/>
      <c r="B191" s="22">
        <v>42120</v>
      </c>
      <c r="C191" s="1" t="s">
        <v>46</v>
      </c>
      <c r="D191" s="3">
        <v>9</v>
      </c>
      <c r="E191" s="3"/>
      <c r="F191" s="3"/>
      <c r="G191" s="3"/>
      <c r="H191" s="3"/>
      <c r="I191" s="3"/>
      <c r="J191" s="29"/>
      <c r="K191" s="1"/>
      <c r="L191" s="1"/>
      <c r="M191" s="54"/>
    </row>
    <row r="192" spans="1:13">
      <c r="A192" s="156"/>
      <c r="B192" s="22">
        <v>42121</v>
      </c>
      <c r="C192" s="1" t="s">
        <v>46</v>
      </c>
      <c r="D192" s="3">
        <v>9</v>
      </c>
      <c r="E192" s="3"/>
      <c r="F192" s="3"/>
      <c r="G192" s="3"/>
      <c r="H192" s="3"/>
      <c r="I192" s="3"/>
      <c r="J192" s="29"/>
      <c r="K192" s="1"/>
      <c r="L192" s="1"/>
      <c r="M192" s="54"/>
    </row>
    <row r="193" spans="1:18">
      <c r="A193" s="156"/>
      <c r="B193" s="22">
        <v>42122</v>
      </c>
      <c r="C193" s="1" t="s">
        <v>46</v>
      </c>
      <c r="D193" s="3"/>
      <c r="E193" s="3"/>
      <c r="F193" s="3"/>
      <c r="G193" s="3"/>
      <c r="H193" s="3"/>
      <c r="I193" s="3"/>
      <c r="J193" s="29"/>
      <c r="K193" s="1"/>
      <c r="L193" s="1"/>
      <c r="M193" s="54"/>
    </row>
    <row r="194" spans="1:18">
      <c r="A194" s="156"/>
      <c r="B194" s="22">
        <v>42123</v>
      </c>
      <c r="C194" s="1" t="s">
        <v>46</v>
      </c>
      <c r="D194" s="3"/>
      <c r="E194" s="3"/>
      <c r="F194" s="3"/>
      <c r="G194" s="3"/>
      <c r="H194" s="3"/>
      <c r="I194" s="3"/>
      <c r="J194" s="29"/>
      <c r="K194" s="1"/>
      <c r="L194" s="1"/>
      <c r="M194" s="54"/>
    </row>
    <row r="195" spans="1:18" ht="15.75" thickBot="1">
      <c r="A195" s="156"/>
      <c r="B195" s="23">
        <v>42124</v>
      </c>
      <c r="C195" s="1" t="s">
        <v>46</v>
      </c>
      <c r="D195" s="19">
        <v>9</v>
      </c>
      <c r="E195" s="3"/>
      <c r="F195" s="3"/>
      <c r="G195" s="3"/>
      <c r="H195" s="3"/>
      <c r="I195" s="3"/>
      <c r="J195" s="1"/>
      <c r="K195" s="1"/>
      <c r="L195" s="1"/>
      <c r="M195" s="54"/>
    </row>
    <row r="196" spans="1:18" ht="15.75" thickBot="1">
      <c r="A196" s="157"/>
      <c r="B196" s="24" t="s">
        <v>92</v>
      </c>
      <c r="C196" s="20"/>
      <c r="D196" s="21">
        <f>SUM(D166:D195)</f>
        <v>196</v>
      </c>
      <c r="E196"/>
      <c r="F196"/>
      <c r="G196"/>
      <c r="H196"/>
      <c r="I196"/>
    </row>
    <row r="197" spans="1:18" ht="15.75" thickBot="1">
      <c r="A197" s="149"/>
      <c r="B197" s="150"/>
      <c r="C197" s="150"/>
      <c r="D197" s="150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1"/>
    </row>
    <row r="198" spans="1:18">
      <c r="B198"/>
      <c r="D198"/>
      <c r="E198"/>
      <c r="F198"/>
      <c r="G198"/>
      <c r="H198"/>
      <c r="I198"/>
    </row>
    <row r="199" spans="1:18">
      <c r="B199"/>
      <c r="D199"/>
      <c r="E199"/>
      <c r="F199"/>
      <c r="G199"/>
      <c r="H199"/>
      <c r="I199"/>
    </row>
    <row r="200" spans="1:18" ht="15.75" thickBot="1"/>
    <row r="201" spans="1:18" ht="15.75" thickBot="1">
      <c r="E201" s="161" t="s">
        <v>110</v>
      </c>
      <c r="F201" s="162"/>
      <c r="G201" s="162"/>
      <c r="H201" s="163"/>
      <c r="I201" s="164" t="s">
        <v>116</v>
      </c>
      <c r="J201" s="165"/>
      <c r="K201" s="165"/>
      <c r="L201" s="166"/>
    </row>
    <row r="202" spans="1:18" ht="15.75" thickBot="1">
      <c r="A202" s="55" t="s">
        <v>91</v>
      </c>
      <c r="B202" s="33" t="s">
        <v>109</v>
      </c>
      <c r="C202" s="34" t="s">
        <v>11</v>
      </c>
      <c r="D202" s="34" t="s">
        <v>10</v>
      </c>
      <c r="E202" s="35" t="s">
        <v>111</v>
      </c>
      <c r="F202" s="36" t="s">
        <v>112</v>
      </c>
      <c r="G202" s="37" t="s">
        <v>113</v>
      </c>
      <c r="H202" s="38" t="s">
        <v>114</v>
      </c>
      <c r="I202" s="35" t="s">
        <v>111</v>
      </c>
      <c r="J202" s="36" t="s">
        <v>112</v>
      </c>
      <c r="K202" s="37" t="s">
        <v>113</v>
      </c>
      <c r="L202" s="38" t="s">
        <v>114</v>
      </c>
      <c r="M202" s="34" t="s">
        <v>115</v>
      </c>
    </row>
    <row r="203" spans="1:18">
      <c r="A203" s="152" t="s">
        <v>68</v>
      </c>
      <c r="B203" s="30">
        <v>42095</v>
      </c>
      <c r="C203" s="18" t="s">
        <v>46</v>
      </c>
      <c r="D203" s="31"/>
      <c r="E203" s="31"/>
      <c r="F203" s="31"/>
      <c r="G203" s="31"/>
      <c r="H203" s="31"/>
      <c r="I203" s="31"/>
      <c r="J203" s="32"/>
      <c r="K203" s="18"/>
      <c r="L203" s="18"/>
      <c r="M203" s="54"/>
    </row>
    <row r="204" spans="1:18">
      <c r="A204" s="153"/>
      <c r="B204" s="22">
        <v>42096</v>
      </c>
      <c r="C204" s="1" t="s">
        <v>46</v>
      </c>
      <c r="D204" s="3">
        <v>9</v>
      </c>
      <c r="E204" s="3"/>
      <c r="F204" s="3"/>
      <c r="G204" s="3"/>
      <c r="H204" s="3"/>
      <c r="I204" s="3"/>
      <c r="J204" s="29"/>
      <c r="K204" s="1"/>
      <c r="L204" s="1"/>
      <c r="M204" s="54"/>
    </row>
    <row r="205" spans="1:18">
      <c r="A205" s="153"/>
      <c r="B205" s="22">
        <v>42097</v>
      </c>
      <c r="C205" s="1" t="s">
        <v>46</v>
      </c>
      <c r="D205" s="3">
        <v>9</v>
      </c>
      <c r="E205" s="3"/>
      <c r="F205" s="3"/>
      <c r="G205" s="3"/>
      <c r="H205" s="3"/>
      <c r="I205" s="3"/>
      <c r="J205" s="29"/>
      <c r="K205" s="1"/>
      <c r="L205" s="1"/>
      <c r="M205" s="54"/>
    </row>
    <row r="206" spans="1:18">
      <c r="A206" s="153"/>
      <c r="B206" s="22">
        <v>42098</v>
      </c>
      <c r="C206" s="1" t="s">
        <v>46</v>
      </c>
      <c r="D206" s="3">
        <v>9</v>
      </c>
      <c r="E206" s="3"/>
      <c r="F206" s="3"/>
      <c r="G206" s="3"/>
      <c r="H206" s="3"/>
      <c r="I206" s="3"/>
      <c r="J206" s="29"/>
      <c r="K206" s="1"/>
      <c r="L206" s="1"/>
      <c r="M206" s="54"/>
    </row>
    <row r="207" spans="1:18">
      <c r="A207" s="153"/>
      <c r="B207" s="22">
        <v>42099</v>
      </c>
      <c r="C207" s="1" t="s">
        <v>46</v>
      </c>
      <c r="D207" s="3">
        <v>9</v>
      </c>
      <c r="E207" s="3"/>
      <c r="F207" s="3"/>
      <c r="G207" s="3"/>
      <c r="H207" s="3"/>
      <c r="I207" s="3"/>
      <c r="J207" s="29"/>
      <c r="K207" s="1"/>
      <c r="L207" s="1"/>
      <c r="M207" s="54"/>
    </row>
    <row r="208" spans="1:18">
      <c r="A208" s="153"/>
      <c r="B208" s="22">
        <v>42100</v>
      </c>
      <c r="C208" s="1" t="s">
        <v>46</v>
      </c>
      <c r="D208" s="3">
        <v>9</v>
      </c>
      <c r="E208" s="3"/>
      <c r="F208" s="3"/>
      <c r="G208" s="3"/>
      <c r="H208" s="3"/>
      <c r="I208" s="3"/>
      <c r="J208" s="29"/>
      <c r="K208" s="1"/>
      <c r="L208" s="1"/>
      <c r="M208" s="54"/>
    </row>
    <row r="209" spans="1:13">
      <c r="A209" s="153"/>
      <c r="B209" s="22">
        <v>42101</v>
      </c>
      <c r="C209" s="1" t="s">
        <v>46</v>
      </c>
      <c r="D209" s="3"/>
      <c r="E209" s="3"/>
      <c r="F209" s="3"/>
      <c r="G209" s="3"/>
      <c r="H209" s="3"/>
      <c r="I209" s="3"/>
      <c r="J209" s="29"/>
      <c r="K209" s="1"/>
      <c r="L209" s="1"/>
      <c r="M209" s="54"/>
    </row>
    <row r="210" spans="1:13">
      <c r="A210" s="153"/>
      <c r="B210" s="22">
        <v>42102</v>
      </c>
      <c r="C210" s="1" t="s">
        <v>46</v>
      </c>
      <c r="D210" s="3"/>
      <c r="E210" s="3"/>
      <c r="F210" s="3"/>
      <c r="G210" s="3"/>
      <c r="H210" s="3"/>
      <c r="I210" s="3"/>
      <c r="J210" s="29"/>
      <c r="K210" s="1"/>
      <c r="L210" s="1"/>
      <c r="M210" s="54"/>
    </row>
    <row r="211" spans="1:13">
      <c r="A211" s="153"/>
      <c r="B211" s="22">
        <v>42103</v>
      </c>
      <c r="C211" s="1" t="s">
        <v>46</v>
      </c>
      <c r="D211" s="3"/>
      <c r="E211" s="3"/>
      <c r="F211" s="3"/>
      <c r="G211" s="3"/>
      <c r="H211" s="3"/>
      <c r="I211" s="3"/>
      <c r="J211" s="29"/>
      <c r="K211" s="1"/>
      <c r="L211" s="1"/>
      <c r="M211" s="54"/>
    </row>
    <row r="212" spans="1:13">
      <c r="A212" s="153"/>
      <c r="B212" s="22">
        <v>42104</v>
      </c>
      <c r="C212" s="1" t="s">
        <v>46</v>
      </c>
      <c r="D212" s="3">
        <v>9</v>
      </c>
      <c r="E212" s="3"/>
      <c r="F212" s="3"/>
      <c r="G212" s="3"/>
      <c r="H212" s="3"/>
      <c r="I212" s="3"/>
      <c r="J212" s="29"/>
      <c r="K212" s="1"/>
      <c r="L212" s="1"/>
      <c r="M212" s="54"/>
    </row>
    <row r="213" spans="1:13">
      <c r="A213" s="153"/>
      <c r="B213" s="22">
        <v>42105</v>
      </c>
      <c r="C213" s="1" t="s">
        <v>46</v>
      </c>
      <c r="D213" s="3">
        <v>9</v>
      </c>
      <c r="E213" s="3"/>
      <c r="F213" s="3"/>
      <c r="G213" s="3"/>
      <c r="H213" s="3"/>
      <c r="I213" s="3"/>
      <c r="J213" s="29"/>
      <c r="K213" s="1"/>
      <c r="L213" s="1"/>
      <c r="M213" s="54"/>
    </row>
    <row r="214" spans="1:13">
      <c r="A214" s="153"/>
      <c r="B214" s="22">
        <v>42106</v>
      </c>
      <c r="C214" s="1" t="s">
        <v>46</v>
      </c>
      <c r="D214" s="3">
        <v>9</v>
      </c>
      <c r="E214" s="3"/>
      <c r="F214" s="3"/>
      <c r="G214" s="3"/>
      <c r="H214" s="3"/>
      <c r="I214" s="3"/>
      <c r="J214" s="29"/>
      <c r="K214" s="1"/>
      <c r="L214" s="1"/>
      <c r="M214" s="54"/>
    </row>
    <row r="215" spans="1:13">
      <c r="A215" s="153"/>
      <c r="B215" s="22">
        <v>42107</v>
      </c>
      <c r="C215" s="1" t="s">
        <v>46</v>
      </c>
      <c r="D215" s="3">
        <v>9</v>
      </c>
      <c r="E215" s="3"/>
      <c r="F215" s="3"/>
      <c r="G215" s="3"/>
      <c r="H215" s="3"/>
      <c r="I215" s="3"/>
      <c r="J215" s="29"/>
      <c r="K215" s="1"/>
      <c r="L215" s="1"/>
      <c r="M215" s="54"/>
    </row>
    <row r="216" spans="1:13">
      <c r="A216" s="153"/>
      <c r="B216" s="22">
        <v>42108</v>
      </c>
      <c r="C216" s="1" t="s">
        <v>46</v>
      </c>
      <c r="D216" s="3"/>
      <c r="E216" s="3"/>
      <c r="F216" s="3"/>
      <c r="G216" s="3"/>
      <c r="H216" s="3"/>
      <c r="I216" s="3"/>
      <c r="J216" s="29"/>
      <c r="K216" s="1"/>
      <c r="L216" s="1"/>
      <c r="M216" s="54"/>
    </row>
    <row r="217" spans="1:13">
      <c r="A217" s="153"/>
      <c r="B217" s="22">
        <v>42109</v>
      </c>
      <c r="C217" s="1" t="s">
        <v>46</v>
      </c>
      <c r="D217" s="3"/>
      <c r="E217" s="3"/>
      <c r="F217" s="3"/>
      <c r="G217" s="3"/>
      <c r="H217" s="3"/>
      <c r="I217" s="3"/>
      <c r="J217" s="29"/>
      <c r="K217" s="1"/>
      <c r="L217" s="1"/>
      <c r="M217" s="54"/>
    </row>
    <row r="218" spans="1:13">
      <c r="A218" s="153"/>
      <c r="B218" s="22">
        <v>42110</v>
      </c>
      <c r="C218" s="1" t="s">
        <v>46</v>
      </c>
      <c r="D218" s="3">
        <v>9</v>
      </c>
      <c r="E218" s="3"/>
      <c r="F218" s="3"/>
      <c r="G218" s="3"/>
      <c r="H218" s="3"/>
      <c r="I218" s="3"/>
      <c r="J218" s="29"/>
      <c r="K218" s="1"/>
      <c r="L218" s="1"/>
      <c r="M218" s="54"/>
    </row>
    <row r="219" spans="1:13">
      <c r="A219" s="153"/>
      <c r="B219" s="22">
        <v>42111</v>
      </c>
      <c r="C219" s="1" t="s">
        <v>46</v>
      </c>
      <c r="D219" s="3">
        <v>9</v>
      </c>
      <c r="E219" s="3"/>
      <c r="F219" s="3"/>
      <c r="G219" s="3"/>
      <c r="H219" s="3"/>
      <c r="I219" s="3"/>
      <c r="J219" s="29"/>
      <c r="K219" s="1"/>
      <c r="L219" s="1"/>
      <c r="M219" s="54"/>
    </row>
    <row r="220" spans="1:13">
      <c r="A220" s="153"/>
      <c r="B220" s="22">
        <v>42112</v>
      </c>
      <c r="C220" s="1" t="s">
        <v>46</v>
      </c>
      <c r="D220" s="3">
        <v>9</v>
      </c>
      <c r="E220" s="3"/>
      <c r="F220" s="3"/>
      <c r="G220" s="3"/>
      <c r="H220" s="3"/>
      <c r="I220" s="3"/>
      <c r="J220" s="29"/>
      <c r="K220" s="1"/>
      <c r="L220" s="1"/>
      <c r="M220" s="54"/>
    </row>
    <row r="221" spans="1:13">
      <c r="A221" s="153"/>
      <c r="B221" s="22">
        <v>42113</v>
      </c>
      <c r="C221" s="1" t="s">
        <v>46</v>
      </c>
      <c r="D221" s="3">
        <v>9</v>
      </c>
      <c r="E221" s="3"/>
      <c r="F221" s="3"/>
      <c r="G221" s="3"/>
      <c r="H221" s="3"/>
      <c r="I221" s="3"/>
      <c r="J221" s="29"/>
      <c r="K221" s="1"/>
      <c r="L221" s="1"/>
      <c r="M221" s="54"/>
    </row>
    <row r="222" spans="1:13">
      <c r="A222" s="153"/>
      <c r="B222" s="22">
        <v>42114</v>
      </c>
      <c r="C222" s="1" t="s">
        <v>46</v>
      </c>
      <c r="D222" s="3">
        <v>9</v>
      </c>
      <c r="E222" s="3"/>
      <c r="F222" s="3"/>
      <c r="G222" s="3"/>
      <c r="H222" s="3"/>
      <c r="I222" s="3"/>
      <c r="J222" s="29"/>
      <c r="K222" s="1"/>
      <c r="L222" s="1"/>
      <c r="M222" s="54"/>
    </row>
    <row r="223" spans="1:13">
      <c r="A223" s="153"/>
      <c r="B223" s="22">
        <v>42115</v>
      </c>
      <c r="C223" s="1" t="s">
        <v>46</v>
      </c>
      <c r="D223" s="3"/>
      <c r="E223" s="3"/>
      <c r="F223" s="3"/>
      <c r="G223" s="3"/>
      <c r="H223" s="3"/>
      <c r="I223" s="3"/>
      <c r="J223" s="29"/>
      <c r="K223" s="1"/>
      <c r="L223" s="1"/>
      <c r="M223" s="54"/>
    </row>
    <row r="224" spans="1:13">
      <c r="A224" s="153"/>
      <c r="B224" s="22">
        <v>42116</v>
      </c>
      <c r="C224" s="1" t="s">
        <v>46</v>
      </c>
      <c r="D224" s="3"/>
      <c r="E224" s="3"/>
      <c r="F224" s="3"/>
      <c r="G224" s="3"/>
      <c r="H224" s="3"/>
      <c r="I224" s="3"/>
      <c r="J224" s="29"/>
      <c r="K224" s="1"/>
      <c r="L224" s="1"/>
      <c r="M224" s="54"/>
    </row>
    <row r="225" spans="1:18">
      <c r="A225" s="153"/>
      <c r="B225" s="22">
        <v>42117</v>
      </c>
      <c r="C225" s="1" t="s">
        <v>46</v>
      </c>
      <c r="D225" s="3">
        <v>9</v>
      </c>
      <c r="E225" s="3"/>
      <c r="F225" s="3"/>
      <c r="G225" s="3"/>
      <c r="H225" s="3"/>
      <c r="I225" s="3"/>
      <c r="J225" s="29"/>
      <c r="K225" s="1"/>
      <c r="L225" s="1"/>
      <c r="M225" s="54"/>
    </row>
    <row r="226" spans="1:18">
      <c r="A226" s="153"/>
      <c r="B226" s="22">
        <v>42118</v>
      </c>
      <c r="C226" s="1" t="s">
        <v>46</v>
      </c>
      <c r="D226" s="3">
        <v>9</v>
      </c>
      <c r="E226" s="3"/>
      <c r="F226" s="3"/>
      <c r="G226" s="3"/>
      <c r="H226" s="3"/>
      <c r="I226" s="3"/>
      <c r="J226" s="29"/>
      <c r="K226" s="1"/>
      <c r="L226" s="1"/>
      <c r="M226" s="54"/>
    </row>
    <row r="227" spans="1:18">
      <c r="A227" s="153"/>
      <c r="B227" s="22">
        <v>42119</v>
      </c>
      <c r="C227" s="1" t="s">
        <v>46</v>
      </c>
      <c r="D227" s="3">
        <v>9</v>
      </c>
      <c r="E227" s="3"/>
      <c r="F227" s="3"/>
      <c r="G227" s="3"/>
      <c r="H227" s="3"/>
      <c r="I227" s="3"/>
      <c r="J227" s="29"/>
      <c r="K227" s="1"/>
      <c r="L227" s="1"/>
      <c r="M227" s="54"/>
    </row>
    <row r="228" spans="1:18">
      <c r="A228" s="153"/>
      <c r="B228" s="22">
        <v>42120</v>
      </c>
      <c r="C228" s="1" t="s">
        <v>46</v>
      </c>
      <c r="D228" s="3">
        <v>9</v>
      </c>
      <c r="E228" s="3"/>
      <c r="F228" s="3"/>
      <c r="G228" s="3"/>
      <c r="H228" s="3"/>
      <c r="I228" s="3"/>
      <c r="J228" s="29"/>
      <c r="K228" s="1"/>
      <c r="L228" s="1"/>
      <c r="M228" s="54"/>
    </row>
    <row r="229" spans="1:18">
      <c r="A229" s="153"/>
      <c r="B229" s="22">
        <v>42121</v>
      </c>
      <c r="C229" s="1" t="s">
        <v>46</v>
      </c>
      <c r="D229" s="3">
        <v>9</v>
      </c>
      <c r="E229" s="3"/>
      <c r="F229" s="3"/>
      <c r="G229" s="3"/>
      <c r="H229" s="3"/>
      <c r="I229" s="3"/>
      <c r="J229" s="29"/>
      <c r="K229" s="1"/>
      <c r="L229" s="1"/>
      <c r="M229" s="54"/>
    </row>
    <row r="230" spans="1:18">
      <c r="A230" s="153"/>
      <c r="B230" s="22">
        <v>42122</v>
      </c>
      <c r="C230" s="1" t="s">
        <v>46</v>
      </c>
      <c r="D230" s="3"/>
      <c r="E230" s="3"/>
      <c r="F230" s="3"/>
      <c r="G230" s="3"/>
      <c r="H230" s="3"/>
      <c r="I230" s="3"/>
      <c r="J230" s="29"/>
      <c r="K230" s="1"/>
      <c r="L230" s="1"/>
      <c r="M230" s="54"/>
    </row>
    <row r="231" spans="1:18">
      <c r="A231" s="153"/>
      <c r="B231" s="22">
        <v>42123</v>
      </c>
      <c r="C231" s="1" t="s">
        <v>46</v>
      </c>
      <c r="D231" s="3"/>
      <c r="E231" s="3"/>
      <c r="F231" s="3"/>
      <c r="G231" s="3"/>
      <c r="H231" s="3"/>
      <c r="I231" s="3"/>
      <c r="J231" s="29"/>
      <c r="K231" s="1"/>
      <c r="L231" s="1"/>
      <c r="M231" s="54"/>
    </row>
    <row r="232" spans="1:18" ht="15.75" thickBot="1">
      <c r="A232" s="153"/>
      <c r="B232" s="23">
        <v>42124</v>
      </c>
      <c r="C232" s="1" t="s">
        <v>46</v>
      </c>
      <c r="D232" s="19">
        <v>9</v>
      </c>
      <c r="E232" s="3"/>
      <c r="F232" s="3"/>
      <c r="G232" s="3"/>
      <c r="H232" s="3"/>
      <c r="I232" s="3"/>
      <c r="J232" s="1"/>
      <c r="K232" s="1"/>
      <c r="L232" s="1"/>
      <c r="M232" s="54"/>
    </row>
    <row r="233" spans="1:18" ht="15.75" thickBot="1">
      <c r="A233" s="154"/>
      <c r="B233" s="24" t="s">
        <v>92</v>
      </c>
      <c r="C233" s="20"/>
      <c r="D233" s="21">
        <f>SUM(D203:D232)</f>
        <v>180</v>
      </c>
      <c r="E233"/>
      <c r="F233"/>
      <c r="G233"/>
      <c r="H233"/>
      <c r="I233"/>
    </row>
    <row r="234" spans="1:18" ht="15.75" thickBot="1">
      <c r="A234" s="149"/>
      <c r="B234" s="150"/>
      <c r="C234" s="150"/>
      <c r="D234" s="150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150"/>
      <c r="R234" s="151"/>
    </row>
    <row r="238" spans="1:18" ht="15.75" thickBot="1"/>
    <row r="239" spans="1:18" ht="15.75" thickBot="1">
      <c r="E239" s="161" t="s">
        <v>110</v>
      </c>
      <c r="F239" s="162"/>
      <c r="G239" s="162"/>
      <c r="H239" s="163"/>
      <c r="I239" s="164" t="s">
        <v>116</v>
      </c>
      <c r="J239" s="165"/>
      <c r="K239" s="165"/>
      <c r="L239" s="166"/>
    </row>
    <row r="240" spans="1:18" ht="15.75" thickBot="1">
      <c r="A240" s="55" t="s">
        <v>91</v>
      </c>
      <c r="B240" s="33" t="s">
        <v>109</v>
      </c>
      <c r="C240" s="34" t="s">
        <v>11</v>
      </c>
      <c r="D240" s="34" t="s">
        <v>10</v>
      </c>
      <c r="E240" s="35" t="s">
        <v>111</v>
      </c>
      <c r="F240" s="36" t="s">
        <v>112</v>
      </c>
      <c r="G240" s="37" t="s">
        <v>113</v>
      </c>
      <c r="H240" s="38" t="s">
        <v>114</v>
      </c>
      <c r="I240" s="35" t="s">
        <v>111</v>
      </c>
      <c r="J240" s="36" t="s">
        <v>112</v>
      </c>
      <c r="K240" s="37" t="s">
        <v>113</v>
      </c>
      <c r="L240" s="38" t="s">
        <v>114</v>
      </c>
      <c r="M240" s="34" t="s">
        <v>115</v>
      </c>
    </row>
    <row r="241" spans="1:13">
      <c r="A241" s="174" t="s">
        <v>69</v>
      </c>
      <c r="B241" s="30">
        <v>42095</v>
      </c>
      <c r="C241" s="18" t="s">
        <v>46</v>
      </c>
      <c r="D241" s="31"/>
      <c r="E241" s="31"/>
      <c r="F241" s="31"/>
      <c r="G241" s="31"/>
      <c r="H241" s="31"/>
      <c r="I241" s="31"/>
      <c r="J241" s="32"/>
      <c r="K241" s="18"/>
      <c r="L241" s="18"/>
      <c r="M241" s="54"/>
    </row>
    <row r="242" spans="1:13">
      <c r="A242" s="175"/>
      <c r="B242" s="22">
        <v>42096</v>
      </c>
      <c r="C242" s="1" t="s">
        <v>46</v>
      </c>
      <c r="D242" s="3">
        <v>9</v>
      </c>
      <c r="E242" s="3"/>
      <c r="F242" s="3"/>
      <c r="G242" s="3"/>
      <c r="H242" s="3"/>
      <c r="I242" s="3"/>
      <c r="J242" s="29"/>
      <c r="K242" s="1"/>
      <c r="L242" s="1"/>
      <c r="M242" s="54"/>
    </row>
    <row r="243" spans="1:13">
      <c r="A243" s="175"/>
      <c r="B243" s="22">
        <v>42097</v>
      </c>
      <c r="C243" s="1" t="s">
        <v>46</v>
      </c>
      <c r="D243" s="3">
        <v>9</v>
      </c>
      <c r="E243" s="3"/>
      <c r="F243" s="3"/>
      <c r="G243" s="3"/>
      <c r="H243" s="3"/>
      <c r="I243" s="3"/>
      <c r="J243" s="29"/>
      <c r="K243" s="1"/>
      <c r="L243" s="1"/>
      <c r="M243" s="54"/>
    </row>
    <row r="244" spans="1:13">
      <c r="A244" s="175"/>
      <c r="B244" s="22">
        <v>42098</v>
      </c>
      <c r="C244" s="1" t="s">
        <v>46</v>
      </c>
      <c r="D244" s="3">
        <v>9</v>
      </c>
      <c r="E244" s="3"/>
      <c r="F244" s="3"/>
      <c r="G244" s="3"/>
      <c r="H244" s="3"/>
      <c r="I244" s="3"/>
      <c r="J244" s="29"/>
      <c r="K244" s="1"/>
      <c r="L244" s="1"/>
      <c r="M244" s="54"/>
    </row>
    <row r="245" spans="1:13">
      <c r="A245" s="175"/>
      <c r="B245" s="22">
        <v>42099</v>
      </c>
      <c r="C245" s="1" t="s">
        <v>46</v>
      </c>
      <c r="D245" s="3">
        <v>9</v>
      </c>
      <c r="E245" s="3"/>
      <c r="F245" s="3"/>
      <c r="G245" s="3"/>
      <c r="H245" s="3"/>
      <c r="I245" s="3"/>
      <c r="J245" s="29"/>
      <c r="K245" s="1"/>
      <c r="L245" s="1"/>
      <c r="M245" s="54"/>
    </row>
    <row r="246" spans="1:13">
      <c r="A246" s="175"/>
      <c r="B246" s="22">
        <v>42100</v>
      </c>
      <c r="C246" s="1" t="s">
        <v>46</v>
      </c>
      <c r="D246" s="3">
        <v>9</v>
      </c>
      <c r="E246" s="3"/>
      <c r="F246" s="3"/>
      <c r="G246" s="3"/>
      <c r="H246" s="3"/>
      <c r="I246" s="3"/>
      <c r="J246" s="29"/>
      <c r="K246" s="1"/>
      <c r="L246" s="1"/>
      <c r="M246" s="54"/>
    </row>
    <row r="247" spans="1:13">
      <c r="A247" s="175"/>
      <c r="B247" s="22">
        <v>42101</v>
      </c>
      <c r="C247" s="1" t="s">
        <v>46</v>
      </c>
      <c r="D247" s="3"/>
      <c r="E247" s="3"/>
      <c r="F247" s="3"/>
      <c r="G247" s="3"/>
      <c r="H247" s="3"/>
      <c r="I247" s="3"/>
      <c r="J247" s="29"/>
      <c r="K247" s="1"/>
      <c r="L247" s="1"/>
      <c r="M247" s="54"/>
    </row>
    <row r="248" spans="1:13">
      <c r="A248" s="175"/>
      <c r="B248" s="22">
        <v>42102</v>
      </c>
      <c r="C248" s="1" t="s">
        <v>46</v>
      </c>
      <c r="D248" s="3"/>
      <c r="E248" s="3"/>
      <c r="F248" s="3"/>
      <c r="G248" s="3"/>
      <c r="H248" s="3"/>
      <c r="I248" s="3"/>
      <c r="J248" s="29"/>
      <c r="K248" s="1"/>
      <c r="L248" s="1"/>
      <c r="M248" s="54"/>
    </row>
    <row r="249" spans="1:13">
      <c r="A249" s="175"/>
      <c r="B249" s="22">
        <v>42103</v>
      </c>
      <c r="C249" s="1" t="s">
        <v>46</v>
      </c>
      <c r="D249" s="3">
        <v>9</v>
      </c>
      <c r="E249" s="3"/>
      <c r="F249" s="3"/>
      <c r="G249" s="3"/>
      <c r="H249" s="3"/>
      <c r="I249" s="3"/>
      <c r="J249" s="29"/>
      <c r="K249" s="1"/>
      <c r="L249" s="1"/>
      <c r="M249" s="54"/>
    </row>
    <row r="250" spans="1:13">
      <c r="A250" s="175"/>
      <c r="B250" s="22">
        <v>42104</v>
      </c>
      <c r="C250" s="1" t="s">
        <v>46</v>
      </c>
      <c r="D250" s="3">
        <v>9</v>
      </c>
      <c r="E250" s="3"/>
      <c r="F250" s="3"/>
      <c r="G250" s="3"/>
      <c r="H250" s="3"/>
      <c r="I250" s="3"/>
      <c r="J250" s="29"/>
      <c r="K250" s="1"/>
      <c r="L250" s="1"/>
      <c r="M250" s="54"/>
    </row>
    <row r="251" spans="1:13">
      <c r="A251" s="175"/>
      <c r="B251" s="22">
        <v>42105</v>
      </c>
      <c r="C251" s="1" t="s">
        <v>46</v>
      </c>
      <c r="D251" s="3">
        <v>9</v>
      </c>
      <c r="E251" s="3"/>
      <c r="F251" s="3"/>
      <c r="G251" s="3"/>
      <c r="H251" s="3"/>
      <c r="I251" s="3"/>
      <c r="J251" s="29"/>
      <c r="K251" s="1"/>
      <c r="L251" s="1"/>
      <c r="M251" s="54"/>
    </row>
    <row r="252" spans="1:13">
      <c r="A252" s="175"/>
      <c r="B252" s="22">
        <v>42106</v>
      </c>
      <c r="C252" s="1" t="s">
        <v>46</v>
      </c>
      <c r="D252" s="3">
        <v>9</v>
      </c>
      <c r="E252" s="3"/>
      <c r="F252" s="3"/>
      <c r="G252" s="3"/>
      <c r="H252" s="3"/>
      <c r="I252" s="3"/>
      <c r="J252" s="29"/>
      <c r="K252" s="1"/>
      <c r="L252" s="1"/>
      <c r="M252" s="54"/>
    </row>
    <row r="253" spans="1:13">
      <c r="A253" s="175"/>
      <c r="B253" s="22">
        <v>42107</v>
      </c>
      <c r="C253" s="1" t="s">
        <v>46</v>
      </c>
      <c r="D253" s="3">
        <v>9</v>
      </c>
      <c r="E253" s="3"/>
      <c r="F253" s="3"/>
      <c r="G253" s="3"/>
      <c r="H253" s="3"/>
      <c r="I253" s="3"/>
      <c r="J253" s="29"/>
      <c r="K253" s="1"/>
      <c r="L253" s="1"/>
      <c r="M253" s="54"/>
    </row>
    <row r="254" spans="1:13">
      <c r="A254" s="175"/>
      <c r="B254" s="22">
        <v>42108</v>
      </c>
      <c r="C254" s="1" t="s">
        <v>46</v>
      </c>
      <c r="D254" s="3"/>
      <c r="E254" s="3"/>
      <c r="F254" s="3"/>
      <c r="G254" s="3"/>
      <c r="H254" s="3"/>
      <c r="I254" s="3"/>
      <c r="J254" s="29"/>
      <c r="K254" s="1"/>
      <c r="L254" s="1"/>
      <c r="M254" s="54"/>
    </row>
    <row r="255" spans="1:13">
      <c r="A255" s="175"/>
      <c r="B255" s="22">
        <v>42109</v>
      </c>
      <c r="C255" s="1" t="s">
        <v>46</v>
      </c>
      <c r="D255" s="3"/>
      <c r="E255" s="3"/>
      <c r="F255" s="3"/>
      <c r="G255" s="3"/>
      <c r="H255" s="3"/>
      <c r="I255" s="3"/>
      <c r="J255" s="29"/>
      <c r="K255" s="1"/>
      <c r="L255" s="1"/>
      <c r="M255" s="54"/>
    </row>
    <row r="256" spans="1:13">
      <c r="A256" s="175"/>
      <c r="B256" s="22">
        <v>42110</v>
      </c>
      <c r="C256" s="1" t="s">
        <v>46</v>
      </c>
      <c r="D256" s="3">
        <v>9</v>
      </c>
      <c r="E256" s="3"/>
      <c r="F256" s="3"/>
      <c r="G256" s="3"/>
      <c r="H256" s="3"/>
      <c r="I256" s="3"/>
      <c r="J256" s="29"/>
      <c r="K256" s="1"/>
      <c r="L256" s="1"/>
      <c r="M256" s="54"/>
    </row>
    <row r="257" spans="1:18">
      <c r="A257" s="175"/>
      <c r="B257" s="22">
        <v>42111</v>
      </c>
      <c r="C257" s="1" t="s">
        <v>46</v>
      </c>
      <c r="D257" s="3">
        <v>9</v>
      </c>
      <c r="E257" s="3"/>
      <c r="F257" s="3"/>
      <c r="G257" s="3"/>
      <c r="H257" s="3"/>
      <c r="I257" s="3"/>
      <c r="J257" s="29"/>
      <c r="K257" s="1"/>
      <c r="L257" s="1"/>
      <c r="M257" s="54"/>
    </row>
    <row r="258" spans="1:18">
      <c r="A258" s="175"/>
      <c r="B258" s="22">
        <v>42112</v>
      </c>
      <c r="C258" s="1" t="s">
        <v>46</v>
      </c>
      <c r="D258" s="3">
        <v>9</v>
      </c>
      <c r="E258" s="3"/>
      <c r="F258" s="3"/>
      <c r="G258" s="3"/>
      <c r="H258" s="3"/>
      <c r="I258" s="3"/>
      <c r="J258" s="29"/>
      <c r="K258" s="1"/>
      <c r="L258" s="1"/>
      <c r="M258" s="54"/>
    </row>
    <row r="259" spans="1:18">
      <c r="A259" s="175"/>
      <c r="B259" s="22">
        <v>42113</v>
      </c>
      <c r="C259" s="1" t="s">
        <v>46</v>
      </c>
      <c r="D259" s="3">
        <v>9</v>
      </c>
      <c r="E259" s="3"/>
      <c r="F259" s="3"/>
      <c r="G259" s="3"/>
      <c r="H259" s="3"/>
      <c r="I259" s="3"/>
      <c r="J259" s="29"/>
      <c r="K259" s="1"/>
      <c r="L259" s="1"/>
      <c r="M259" s="54"/>
    </row>
    <row r="260" spans="1:18">
      <c r="A260" s="175"/>
      <c r="B260" s="22">
        <v>42114</v>
      </c>
      <c r="C260" s="1" t="s">
        <v>46</v>
      </c>
      <c r="D260" s="3">
        <v>9</v>
      </c>
      <c r="E260" s="3"/>
      <c r="F260" s="3"/>
      <c r="G260" s="3"/>
      <c r="H260" s="3"/>
      <c r="I260" s="3"/>
      <c r="J260" s="29"/>
      <c r="K260" s="1"/>
      <c r="L260" s="1"/>
      <c r="M260" s="54"/>
    </row>
    <row r="261" spans="1:18">
      <c r="A261" s="175"/>
      <c r="B261" s="22">
        <v>42115</v>
      </c>
      <c r="C261" s="1" t="s">
        <v>46</v>
      </c>
      <c r="D261" s="3"/>
      <c r="E261" s="3"/>
      <c r="F261" s="3"/>
      <c r="G261" s="3"/>
      <c r="H261" s="3"/>
      <c r="I261" s="3"/>
      <c r="J261" s="29"/>
      <c r="K261" s="1"/>
      <c r="L261" s="1"/>
      <c r="M261" s="54"/>
    </row>
    <row r="262" spans="1:18">
      <c r="A262" s="175"/>
      <c r="B262" s="22">
        <v>42116</v>
      </c>
      <c r="C262" s="1" t="s">
        <v>46</v>
      </c>
      <c r="D262" s="3">
        <v>7</v>
      </c>
      <c r="E262" s="3"/>
      <c r="F262" s="3"/>
      <c r="G262" s="3"/>
      <c r="H262" s="3"/>
      <c r="I262" s="3"/>
      <c r="J262" s="29"/>
      <c r="K262" s="1"/>
      <c r="L262" s="1"/>
      <c r="M262" s="54"/>
    </row>
    <row r="263" spans="1:18">
      <c r="A263" s="175"/>
      <c r="B263" s="22">
        <v>42117</v>
      </c>
      <c r="C263" s="1" t="s">
        <v>46</v>
      </c>
      <c r="D263" s="3">
        <v>9</v>
      </c>
      <c r="E263" s="3"/>
      <c r="F263" s="3"/>
      <c r="G263" s="3"/>
      <c r="H263" s="3"/>
      <c r="I263" s="3"/>
      <c r="J263" s="29"/>
      <c r="K263" s="1"/>
      <c r="L263" s="1"/>
      <c r="M263" s="54"/>
    </row>
    <row r="264" spans="1:18">
      <c r="A264" s="175"/>
      <c r="B264" s="22">
        <v>42118</v>
      </c>
      <c r="C264" s="1" t="s">
        <v>46</v>
      </c>
      <c r="D264" s="3">
        <v>9</v>
      </c>
      <c r="E264" s="3"/>
      <c r="F264" s="3"/>
      <c r="G264" s="3"/>
      <c r="H264" s="3"/>
      <c r="I264" s="3"/>
      <c r="J264" s="29"/>
      <c r="K264" s="1"/>
      <c r="L264" s="1"/>
      <c r="M264" s="54"/>
    </row>
    <row r="265" spans="1:18">
      <c r="A265" s="175"/>
      <c r="B265" s="22">
        <v>42119</v>
      </c>
      <c r="C265" s="1" t="s">
        <v>46</v>
      </c>
      <c r="D265" s="3">
        <v>9</v>
      </c>
      <c r="E265" s="3"/>
      <c r="F265" s="3"/>
      <c r="G265" s="3"/>
      <c r="H265" s="3"/>
      <c r="I265" s="3"/>
      <c r="J265" s="29"/>
      <c r="K265" s="1"/>
      <c r="L265" s="1"/>
      <c r="M265" s="54"/>
    </row>
    <row r="266" spans="1:18">
      <c r="A266" s="175"/>
      <c r="B266" s="22">
        <v>42120</v>
      </c>
      <c r="C266" s="1" t="s">
        <v>46</v>
      </c>
      <c r="D266" s="3">
        <v>9</v>
      </c>
      <c r="E266" s="3"/>
      <c r="F266" s="3"/>
      <c r="G266" s="3"/>
      <c r="H266" s="3"/>
      <c r="I266" s="3"/>
      <c r="J266" s="29"/>
      <c r="K266" s="1"/>
      <c r="L266" s="1"/>
      <c r="M266" s="54"/>
    </row>
    <row r="267" spans="1:18">
      <c r="A267" s="175"/>
      <c r="B267" s="22">
        <v>42121</v>
      </c>
      <c r="C267" s="1" t="s">
        <v>46</v>
      </c>
      <c r="D267" s="3">
        <v>9</v>
      </c>
      <c r="E267" s="3"/>
      <c r="F267" s="3"/>
      <c r="G267" s="3"/>
      <c r="H267" s="3"/>
      <c r="I267" s="3"/>
      <c r="J267" s="29"/>
      <c r="K267" s="1"/>
      <c r="L267" s="1"/>
      <c r="M267" s="54"/>
    </row>
    <row r="268" spans="1:18">
      <c r="A268" s="175"/>
      <c r="B268" s="22">
        <v>42122</v>
      </c>
      <c r="C268" s="1" t="s">
        <v>46</v>
      </c>
      <c r="D268" s="3"/>
      <c r="E268" s="3"/>
      <c r="F268" s="3"/>
      <c r="G268" s="3"/>
      <c r="H268" s="3"/>
      <c r="I268" s="3"/>
      <c r="J268" s="29"/>
      <c r="K268" s="1"/>
      <c r="L268" s="1"/>
      <c r="M268" s="54"/>
    </row>
    <row r="269" spans="1:18">
      <c r="A269" s="175"/>
      <c r="B269" s="22">
        <v>42123</v>
      </c>
      <c r="C269" s="1" t="s">
        <v>46</v>
      </c>
      <c r="D269" s="3"/>
      <c r="E269" s="3"/>
      <c r="F269" s="3"/>
      <c r="G269" s="3"/>
      <c r="H269" s="3"/>
      <c r="I269" s="3"/>
      <c r="J269" s="29"/>
      <c r="K269" s="1"/>
      <c r="L269" s="1"/>
      <c r="M269" s="54"/>
    </row>
    <row r="270" spans="1:18" ht="15.75" thickBot="1">
      <c r="A270" s="175"/>
      <c r="B270" s="23">
        <v>42124</v>
      </c>
      <c r="C270" s="1" t="s">
        <v>46</v>
      </c>
      <c r="D270" s="19">
        <v>9</v>
      </c>
      <c r="E270" s="3"/>
      <c r="F270" s="3"/>
      <c r="G270" s="3"/>
      <c r="H270" s="3"/>
      <c r="I270" s="3"/>
      <c r="J270" s="1"/>
      <c r="K270" s="1"/>
      <c r="L270" s="1"/>
      <c r="M270" s="54"/>
    </row>
    <row r="271" spans="1:18" ht="15.75" thickBot="1">
      <c r="A271" s="176"/>
      <c r="B271" s="24" t="s">
        <v>92</v>
      </c>
      <c r="C271" s="20"/>
      <c r="D271" s="21">
        <f>SUM(D241:D270)</f>
        <v>196</v>
      </c>
      <c r="E271"/>
      <c r="F271"/>
      <c r="G271"/>
      <c r="H271"/>
      <c r="I271"/>
    </row>
    <row r="272" spans="1:18" ht="15.75" thickBot="1">
      <c r="A272" s="149"/>
      <c r="B272" s="150"/>
      <c r="C272" s="150"/>
      <c r="D272" s="150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150"/>
      <c r="R272" s="151"/>
    </row>
    <row r="276" spans="1:13" ht="15.75" thickBot="1"/>
    <row r="277" spans="1:13" ht="15.75" thickBot="1">
      <c r="E277" s="161" t="s">
        <v>110</v>
      </c>
      <c r="F277" s="162"/>
      <c r="G277" s="162"/>
      <c r="H277" s="163"/>
      <c r="I277" s="164" t="s">
        <v>116</v>
      </c>
      <c r="J277" s="165"/>
      <c r="K277" s="165"/>
      <c r="L277" s="166"/>
    </row>
    <row r="278" spans="1:13" ht="15.75" thickBot="1">
      <c r="A278" s="55" t="s">
        <v>91</v>
      </c>
      <c r="B278" s="33" t="s">
        <v>109</v>
      </c>
      <c r="C278" s="34" t="s">
        <v>11</v>
      </c>
      <c r="D278" s="34" t="s">
        <v>10</v>
      </c>
      <c r="E278" s="35" t="s">
        <v>111</v>
      </c>
      <c r="F278" s="36" t="s">
        <v>112</v>
      </c>
      <c r="G278" s="37" t="s">
        <v>113</v>
      </c>
      <c r="H278" s="38" t="s">
        <v>114</v>
      </c>
      <c r="I278" s="35" t="s">
        <v>111</v>
      </c>
      <c r="J278" s="36" t="s">
        <v>112</v>
      </c>
      <c r="K278" s="37" t="s">
        <v>113</v>
      </c>
      <c r="L278" s="38" t="s">
        <v>114</v>
      </c>
      <c r="M278" s="34" t="s">
        <v>115</v>
      </c>
    </row>
    <row r="279" spans="1:13">
      <c r="A279" s="180" t="s">
        <v>76</v>
      </c>
      <c r="B279" s="30">
        <v>42095</v>
      </c>
      <c r="C279" s="18" t="s">
        <v>46</v>
      </c>
      <c r="D279" s="31"/>
      <c r="E279" s="31"/>
      <c r="F279" s="31"/>
      <c r="G279" s="31"/>
      <c r="H279" s="31"/>
      <c r="I279" s="31"/>
      <c r="J279" s="32"/>
      <c r="K279" s="18"/>
      <c r="L279" s="18"/>
      <c r="M279" s="54"/>
    </row>
    <row r="280" spans="1:13">
      <c r="A280" s="181"/>
      <c r="B280" s="22">
        <v>42096</v>
      </c>
      <c r="C280" s="1" t="s">
        <v>46</v>
      </c>
      <c r="D280" s="3">
        <v>9</v>
      </c>
      <c r="E280" s="3"/>
      <c r="F280" s="3"/>
      <c r="G280" s="3"/>
      <c r="H280" s="3"/>
      <c r="I280" s="3"/>
      <c r="J280" s="29"/>
      <c r="K280" s="1"/>
      <c r="L280" s="1"/>
      <c r="M280" s="54"/>
    </row>
    <row r="281" spans="1:13">
      <c r="A281" s="181"/>
      <c r="B281" s="22">
        <v>42097</v>
      </c>
      <c r="C281" s="1" t="s">
        <v>46</v>
      </c>
      <c r="D281" s="3">
        <v>9</v>
      </c>
      <c r="E281" s="3"/>
      <c r="F281" s="3"/>
      <c r="G281" s="3"/>
      <c r="H281" s="3"/>
      <c r="I281" s="3"/>
      <c r="J281" s="29"/>
      <c r="K281" s="1"/>
      <c r="L281" s="1"/>
      <c r="M281" s="54"/>
    </row>
    <row r="282" spans="1:13">
      <c r="A282" s="181"/>
      <c r="B282" s="22">
        <v>42098</v>
      </c>
      <c r="C282" s="1" t="s">
        <v>46</v>
      </c>
      <c r="D282" s="3">
        <v>9</v>
      </c>
      <c r="E282" s="3"/>
      <c r="F282" s="3"/>
      <c r="G282" s="3"/>
      <c r="H282" s="3"/>
      <c r="I282" s="3"/>
      <c r="J282" s="29"/>
      <c r="K282" s="1"/>
      <c r="L282" s="1"/>
      <c r="M282" s="54"/>
    </row>
    <row r="283" spans="1:13">
      <c r="A283" s="181"/>
      <c r="B283" s="22">
        <v>42099</v>
      </c>
      <c r="C283" s="1" t="s">
        <v>46</v>
      </c>
      <c r="D283" s="3">
        <v>9</v>
      </c>
      <c r="E283" s="3"/>
      <c r="F283" s="3"/>
      <c r="G283" s="3"/>
      <c r="H283" s="3"/>
      <c r="I283" s="3"/>
      <c r="J283" s="29"/>
      <c r="K283" s="1"/>
      <c r="L283" s="1"/>
      <c r="M283" s="54"/>
    </row>
    <row r="284" spans="1:13">
      <c r="A284" s="181"/>
      <c r="B284" s="22">
        <v>42100</v>
      </c>
      <c r="C284" s="1" t="s">
        <v>46</v>
      </c>
      <c r="D284" s="3">
        <v>9</v>
      </c>
      <c r="E284" s="3"/>
      <c r="F284" s="3"/>
      <c r="G284" s="3"/>
      <c r="H284" s="3"/>
      <c r="I284" s="3"/>
      <c r="J284" s="29"/>
      <c r="K284" s="1"/>
      <c r="L284" s="1"/>
      <c r="M284" s="54"/>
    </row>
    <row r="285" spans="1:13">
      <c r="A285" s="181"/>
      <c r="B285" s="22">
        <v>42101</v>
      </c>
      <c r="C285" s="1" t="s">
        <v>46</v>
      </c>
      <c r="D285" s="3"/>
      <c r="E285" s="3"/>
      <c r="F285" s="3"/>
      <c r="G285" s="3"/>
      <c r="H285" s="3"/>
      <c r="I285" s="3"/>
      <c r="J285" s="29"/>
      <c r="K285" s="1"/>
      <c r="L285" s="1"/>
      <c r="M285" s="54"/>
    </row>
    <row r="286" spans="1:13">
      <c r="A286" s="181"/>
      <c r="B286" s="22">
        <v>42102</v>
      </c>
      <c r="C286" s="1" t="s">
        <v>46</v>
      </c>
      <c r="D286" s="3"/>
      <c r="E286" s="3"/>
      <c r="F286" s="3"/>
      <c r="G286" s="3"/>
      <c r="H286" s="3"/>
      <c r="I286" s="3"/>
      <c r="J286" s="29"/>
      <c r="K286" s="1"/>
      <c r="L286" s="1"/>
      <c r="M286" s="54"/>
    </row>
    <row r="287" spans="1:13">
      <c r="A287" s="181"/>
      <c r="B287" s="22">
        <v>42103</v>
      </c>
      <c r="C287" s="1" t="s">
        <v>46</v>
      </c>
      <c r="D287" s="3">
        <v>9</v>
      </c>
      <c r="E287" s="3"/>
      <c r="F287" s="3"/>
      <c r="G287" s="3"/>
      <c r="H287" s="3"/>
      <c r="I287" s="3"/>
      <c r="J287" s="29"/>
      <c r="K287" s="1"/>
      <c r="L287" s="1"/>
      <c r="M287" s="54"/>
    </row>
    <row r="288" spans="1:13">
      <c r="A288" s="181"/>
      <c r="B288" s="22">
        <v>42104</v>
      </c>
      <c r="C288" s="1" t="s">
        <v>46</v>
      </c>
      <c r="D288" s="3">
        <v>9</v>
      </c>
      <c r="E288" s="3"/>
      <c r="F288" s="3"/>
      <c r="G288" s="3"/>
      <c r="H288" s="3"/>
      <c r="I288" s="3"/>
      <c r="J288" s="29"/>
      <c r="K288" s="1"/>
      <c r="L288" s="1"/>
      <c r="M288" s="54"/>
    </row>
    <row r="289" spans="1:13">
      <c r="A289" s="181"/>
      <c r="B289" s="22">
        <v>42105</v>
      </c>
      <c r="C289" s="1" t="s">
        <v>46</v>
      </c>
      <c r="D289" s="3">
        <v>9</v>
      </c>
      <c r="E289" s="3"/>
      <c r="F289" s="3"/>
      <c r="G289" s="3"/>
      <c r="H289" s="3"/>
      <c r="I289" s="3"/>
      <c r="J289" s="29"/>
      <c r="K289" s="1"/>
      <c r="L289" s="1"/>
      <c r="M289" s="54"/>
    </row>
    <row r="290" spans="1:13">
      <c r="A290" s="181"/>
      <c r="B290" s="22">
        <v>42106</v>
      </c>
      <c r="C290" s="1" t="s">
        <v>46</v>
      </c>
      <c r="D290" s="3">
        <v>9</v>
      </c>
      <c r="E290" s="3"/>
      <c r="F290" s="3"/>
      <c r="G290" s="3"/>
      <c r="H290" s="3"/>
      <c r="I290" s="3"/>
      <c r="J290" s="29"/>
      <c r="K290" s="1"/>
      <c r="L290" s="1"/>
      <c r="M290" s="54"/>
    </row>
    <row r="291" spans="1:13">
      <c r="A291" s="181"/>
      <c r="B291" s="22">
        <v>42107</v>
      </c>
      <c r="C291" s="1" t="s">
        <v>46</v>
      </c>
      <c r="D291" s="3">
        <v>9</v>
      </c>
      <c r="E291" s="3"/>
      <c r="F291" s="3"/>
      <c r="G291" s="3"/>
      <c r="H291" s="3"/>
      <c r="I291" s="3"/>
      <c r="J291" s="29"/>
      <c r="K291" s="1"/>
      <c r="L291" s="1"/>
      <c r="M291" s="54"/>
    </row>
    <row r="292" spans="1:13">
      <c r="A292" s="181"/>
      <c r="B292" s="22">
        <v>42108</v>
      </c>
      <c r="C292" s="1" t="s">
        <v>46</v>
      </c>
      <c r="D292" s="3"/>
      <c r="E292" s="3"/>
      <c r="F292" s="3"/>
      <c r="G292" s="3"/>
      <c r="H292" s="3"/>
      <c r="I292" s="3"/>
      <c r="J292" s="29"/>
      <c r="K292" s="1"/>
      <c r="L292" s="1"/>
      <c r="M292" s="54"/>
    </row>
    <row r="293" spans="1:13">
      <c r="A293" s="181"/>
      <c r="B293" s="22">
        <v>42109</v>
      </c>
      <c r="C293" s="1" t="s">
        <v>46</v>
      </c>
      <c r="D293" s="3"/>
      <c r="E293" s="3"/>
      <c r="F293" s="3"/>
      <c r="G293" s="3"/>
      <c r="H293" s="3"/>
      <c r="I293" s="3"/>
      <c r="J293" s="29"/>
      <c r="K293" s="1"/>
      <c r="L293" s="1"/>
      <c r="M293" s="54"/>
    </row>
    <row r="294" spans="1:13">
      <c r="A294" s="181"/>
      <c r="B294" s="22">
        <v>42110</v>
      </c>
      <c r="C294" s="1" t="s">
        <v>46</v>
      </c>
      <c r="D294" s="3">
        <v>9</v>
      </c>
      <c r="E294" s="3"/>
      <c r="F294" s="3"/>
      <c r="G294" s="3"/>
      <c r="H294" s="3"/>
      <c r="I294" s="3"/>
      <c r="J294" s="29"/>
      <c r="K294" s="1"/>
      <c r="L294" s="1"/>
      <c r="M294" s="54"/>
    </row>
    <row r="295" spans="1:13">
      <c r="A295" s="181"/>
      <c r="B295" s="22">
        <v>42111</v>
      </c>
      <c r="C295" s="1" t="s">
        <v>46</v>
      </c>
      <c r="D295" s="3">
        <v>9</v>
      </c>
      <c r="E295" s="3"/>
      <c r="F295" s="3"/>
      <c r="G295" s="3"/>
      <c r="H295" s="3"/>
      <c r="I295" s="3"/>
      <c r="J295" s="29"/>
      <c r="K295" s="1"/>
      <c r="L295" s="1"/>
      <c r="M295" s="54"/>
    </row>
    <row r="296" spans="1:13">
      <c r="A296" s="181"/>
      <c r="B296" s="22">
        <v>42112</v>
      </c>
      <c r="C296" s="1" t="s">
        <v>46</v>
      </c>
      <c r="D296" s="3">
        <v>9</v>
      </c>
      <c r="E296" s="3"/>
      <c r="F296" s="3"/>
      <c r="G296" s="3"/>
      <c r="H296" s="3"/>
      <c r="I296" s="3"/>
      <c r="J296" s="29"/>
      <c r="K296" s="1"/>
      <c r="L296" s="1"/>
      <c r="M296" s="54"/>
    </row>
    <row r="297" spans="1:13">
      <c r="A297" s="181"/>
      <c r="B297" s="22">
        <v>42113</v>
      </c>
      <c r="C297" s="1" t="s">
        <v>46</v>
      </c>
      <c r="D297" s="3">
        <v>9</v>
      </c>
      <c r="E297" s="3"/>
      <c r="F297" s="3"/>
      <c r="G297" s="3"/>
      <c r="H297" s="3"/>
      <c r="I297" s="3"/>
      <c r="J297" s="29"/>
      <c r="K297" s="1"/>
      <c r="L297" s="1"/>
      <c r="M297" s="54"/>
    </row>
    <row r="298" spans="1:13">
      <c r="A298" s="181"/>
      <c r="B298" s="22">
        <v>42114</v>
      </c>
      <c r="C298" s="1" t="s">
        <v>46</v>
      </c>
      <c r="D298" s="3">
        <v>9</v>
      </c>
      <c r="E298" s="3"/>
      <c r="F298" s="3"/>
      <c r="G298" s="3"/>
      <c r="H298" s="3"/>
      <c r="I298" s="3"/>
      <c r="J298" s="29"/>
      <c r="K298" s="1"/>
      <c r="L298" s="1"/>
      <c r="M298" s="54"/>
    </row>
    <row r="299" spans="1:13">
      <c r="A299" s="181"/>
      <c r="B299" s="22">
        <v>42115</v>
      </c>
      <c r="C299" s="1" t="s">
        <v>46</v>
      </c>
      <c r="D299" s="3"/>
      <c r="E299" s="3"/>
      <c r="F299" s="3"/>
      <c r="G299" s="3"/>
      <c r="H299" s="3"/>
      <c r="I299" s="3"/>
      <c r="J299" s="29"/>
      <c r="K299" s="1"/>
      <c r="L299" s="1"/>
      <c r="M299" s="54"/>
    </row>
    <row r="300" spans="1:13">
      <c r="A300" s="181"/>
      <c r="B300" s="22">
        <v>42116</v>
      </c>
      <c r="C300" s="1" t="s">
        <v>46</v>
      </c>
      <c r="D300" s="3">
        <v>7</v>
      </c>
      <c r="E300" s="3"/>
      <c r="F300" s="3"/>
      <c r="G300" s="3"/>
      <c r="H300" s="3"/>
      <c r="I300" s="3"/>
      <c r="J300" s="29"/>
      <c r="K300" s="1"/>
      <c r="L300" s="1"/>
      <c r="M300" s="54"/>
    </row>
    <row r="301" spans="1:13">
      <c r="A301" s="181"/>
      <c r="B301" s="22">
        <v>42117</v>
      </c>
      <c r="C301" s="1" t="s">
        <v>46</v>
      </c>
      <c r="D301" s="3">
        <v>9</v>
      </c>
      <c r="E301" s="3"/>
      <c r="F301" s="3"/>
      <c r="G301" s="3"/>
      <c r="H301" s="3"/>
      <c r="I301" s="3"/>
      <c r="J301" s="29"/>
      <c r="K301" s="1"/>
      <c r="L301" s="1"/>
      <c r="M301" s="54"/>
    </row>
    <row r="302" spans="1:13">
      <c r="A302" s="181"/>
      <c r="B302" s="22">
        <v>42118</v>
      </c>
      <c r="C302" s="1" t="s">
        <v>46</v>
      </c>
      <c r="D302" s="3">
        <v>9</v>
      </c>
      <c r="E302" s="3"/>
      <c r="F302" s="3"/>
      <c r="G302" s="3"/>
      <c r="H302" s="3"/>
      <c r="I302" s="3"/>
      <c r="J302" s="29"/>
      <c r="K302" s="1"/>
      <c r="L302" s="1"/>
      <c r="M302" s="54"/>
    </row>
    <row r="303" spans="1:13">
      <c r="A303" s="181"/>
      <c r="B303" s="22">
        <v>42119</v>
      </c>
      <c r="C303" s="1" t="s">
        <v>46</v>
      </c>
      <c r="D303" s="3">
        <v>9</v>
      </c>
      <c r="E303" s="3"/>
      <c r="F303" s="3"/>
      <c r="G303" s="3"/>
      <c r="H303" s="3"/>
      <c r="I303" s="3"/>
      <c r="J303" s="29"/>
      <c r="K303" s="1"/>
      <c r="L303" s="1"/>
      <c r="M303" s="54"/>
    </row>
    <row r="304" spans="1:13">
      <c r="A304" s="181"/>
      <c r="B304" s="22">
        <v>42120</v>
      </c>
      <c r="C304" s="1" t="s">
        <v>46</v>
      </c>
      <c r="D304" s="3">
        <v>9</v>
      </c>
      <c r="E304" s="3"/>
      <c r="F304" s="3"/>
      <c r="G304" s="3"/>
      <c r="H304" s="3"/>
      <c r="I304" s="3"/>
      <c r="J304" s="29"/>
      <c r="K304" s="1"/>
      <c r="L304" s="1"/>
      <c r="M304" s="54"/>
    </row>
    <row r="305" spans="1:18">
      <c r="A305" s="181"/>
      <c r="B305" s="22">
        <v>42121</v>
      </c>
      <c r="C305" s="1" t="s">
        <v>46</v>
      </c>
      <c r="D305" s="3">
        <v>9</v>
      </c>
      <c r="E305" s="3"/>
      <c r="F305" s="3"/>
      <c r="G305" s="3"/>
      <c r="H305" s="3"/>
      <c r="I305" s="3"/>
      <c r="J305" s="29"/>
      <c r="K305" s="1"/>
      <c r="L305" s="1"/>
      <c r="M305" s="54"/>
    </row>
    <row r="306" spans="1:18">
      <c r="A306" s="181"/>
      <c r="B306" s="22">
        <v>42122</v>
      </c>
      <c r="C306" s="1" t="s">
        <v>46</v>
      </c>
      <c r="D306" s="3"/>
      <c r="E306" s="3"/>
      <c r="F306" s="3"/>
      <c r="G306" s="3"/>
      <c r="H306" s="3"/>
      <c r="I306" s="3"/>
      <c r="J306" s="29"/>
      <c r="K306" s="1"/>
      <c r="L306" s="1"/>
      <c r="M306" s="54"/>
    </row>
    <row r="307" spans="1:18">
      <c r="A307" s="181"/>
      <c r="B307" s="22">
        <v>42123</v>
      </c>
      <c r="C307" s="1" t="s">
        <v>46</v>
      </c>
      <c r="D307" s="3"/>
      <c r="E307" s="3"/>
      <c r="F307" s="3"/>
      <c r="G307" s="3"/>
      <c r="H307" s="3"/>
      <c r="I307" s="3"/>
      <c r="J307" s="29"/>
      <c r="K307" s="1"/>
      <c r="L307" s="1"/>
      <c r="M307" s="54"/>
    </row>
    <row r="308" spans="1:18" ht="15.75" thickBot="1">
      <c r="A308" s="181"/>
      <c r="B308" s="23">
        <v>42124</v>
      </c>
      <c r="C308" s="1" t="s">
        <v>46</v>
      </c>
      <c r="D308" s="19">
        <v>9</v>
      </c>
      <c r="E308" s="3"/>
      <c r="F308" s="3"/>
      <c r="G308" s="3"/>
      <c r="H308" s="3"/>
      <c r="I308" s="3"/>
      <c r="J308" s="1"/>
      <c r="K308" s="1"/>
      <c r="L308" s="1"/>
      <c r="M308" s="54"/>
    </row>
    <row r="309" spans="1:18" ht="15.75" thickBot="1">
      <c r="A309" s="182"/>
      <c r="B309" s="24" t="s">
        <v>92</v>
      </c>
      <c r="C309" s="20"/>
      <c r="D309" s="21">
        <f>SUM(D279:D308)</f>
        <v>196</v>
      </c>
      <c r="E309"/>
      <c r="F309"/>
      <c r="G309"/>
      <c r="H309"/>
      <c r="I309"/>
    </row>
    <row r="310" spans="1:18" ht="15.75" thickBot="1">
      <c r="A310" s="149"/>
      <c r="B310" s="150"/>
      <c r="C310" s="150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1"/>
    </row>
    <row r="314" spans="1:18" ht="15.75" thickBot="1"/>
    <row r="315" spans="1:18" ht="15.75" thickBot="1">
      <c r="E315" s="161" t="s">
        <v>110</v>
      </c>
      <c r="F315" s="162"/>
      <c r="G315" s="162"/>
      <c r="H315" s="163"/>
      <c r="I315" s="164" t="s">
        <v>116</v>
      </c>
      <c r="J315" s="165"/>
      <c r="K315" s="165"/>
      <c r="L315" s="166"/>
    </row>
    <row r="316" spans="1:18" ht="15.75" thickBot="1">
      <c r="A316" s="55" t="s">
        <v>91</v>
      </c>
      <c r="B316" s="33" t="s">
        <v>109</v>
      </c>
      <c r="C316" s="34" t="s">
        <v>11</v>
      </c>
      <c r="D316" s="34" t="s">
        <v>10</v>
      </c>
      <c r="E316" s="35" t="s">
        <v>111</v>
      </c>
      <c r="F316" s="36" t="s">
        <v>112</v>
      </c>
      <c r="G316" s="37" t="s">
        <v>113</v>
      </c>
      <c r="H316" s="38" t="s">
        <v>114</v>
      </c>
      <c r="I316" s="35" t="s">
        <v>111</v>
      </c>
      <c r="J316" s="36" t="s">
        <v>112</v>
      </c>
      <c r="K316" s="37" t="s">
        <v>113</v>
      </c>
      <c r="L316" s="38" t="s">
        <v>114</v>
      </c>
      <c r="M316" s="34" t="s">
        <v>115</v>
      </c>
    </row>
    <row r="317" spans="1:18">
      <c r="A317" s="177" t="s">
        <v>77</v>
      </c>
      <c r="B317" s="30">
        <v>42095</v>
      </c>
      <c r="C317" s="18" t="s">
        <v>46</v>
      </c>
      <c r="D317" s="31"/>
      <c r="E317" s="31"/>
      <c r="F317" s="31"/>
      <c r="G317" s="31"/>
      <c r="H317" s="31"/>
      <c r="I317" s="31"/>
      <c r="J317" s="32"/>
      <c r="K317" s="18"/>
      <c r="L317" s="18"/>
      <c r="M317" s="54"/>
    </row>
    <row r="318" spans="1:18">
      <c r="A318" s="178"/>
      <c r="B318" s="22">
        <v>42096</v>
      </c>
      <c r="C318" s="1" t="s">
        <v>46</v>
      </c>
      <c r="D318" s="3">
        <v>9</v>
      </c>
      <c r="E318" s="3"/>
      <c r="F318" s="3"/>
      <c r="G318" s="3"/>
      <c r="H318" s="3"/>
      <c r="I318" s="3"/>
      <c r="J318" s="29"/>
      <c r="K318" s="1"/>
      <c r="L318" s="1"/>
      <c r="M318" s="54"/>
    </row>
    <row r="319" spans="1:18">
      <c r="A319" s="178"/>
      <c r="B319" s="22">
        <v>42097</v>
      </c>
      <c r="C319" s="1" t="s">
        <v>46</v>
      </c>
      <c r="D319" s="3">
        <v>9</v>
      </c>
      <c r="E319" s="3"/>
      <c r="F319" s="3"/>
      <c r="G319" s="3"/>
      <c r="H319" s="3"/>
      <c r="I319" s="3"/>
      <c r="J319" s="29"/>
      <c r="K319" s="1"/>
      <c r="L319" s="1"/>
      <c r="M319" s="54"/>
    </row>
    <row r="320" spans="1:18">
      <c r="A320" s="178"/>
      <c r="B320" s="22">
        <v>42098</v>
      </c>
      <c r="C320" s="1" t="s">
        <v>46</v>
      </c>
      <c r="D320" s="3">
        <v>9</v>
      </c>
      <c r="E320" s="3"/>
      <c r="F320" s="3"/>
      <c r="G320" s="3"/>
      <c r="H320" s="3"/>
      <c r="I320" s="3"/>
      <c r="J320" s="29"/>
      <c r="K320" s="1"/>
      <c r="L320" s="1"/>
      <c r="M320" s="54"/>
    </row>
    <row r="321" spans="1:13">
      <c r="A321" s="178"/>
      <c r="B321" s="22">
        <v>42099</v>
      </c>
      <c r="C321" s="1" t="s">
        <v>46</v>
      </c>
      <c r="D321" s="3">
        <v>9</v>
      </c>
      <c r="E321" s="3"/>
      <c r="F321" s="3"/>
      <c r="G321" s="3"/>
      <c r="H321" s="3"/>
      <c r="I321" s="3"/>
      <c r="J321" s="29"/>
      <c r="K321" s="1"/>
      <c r="L321" s="1"/>
      <c r="M321" s="54"/>
    </row>
    <row r="322" spans="1:13">
      <c r="A322" s="178"/>
      <c r="B322" s="22">
        <v>42100</v>
      </c>
      <c r="C322" s="1" t="s">
        <v>46</v>
      </c>
      <c r="D322" s="3">
        <v>9</v>
      </c>
      <c r="E322" s="3"/>
      <c r="F322" s="3"/>
      <c r="G322" s="3"/>
      <c r="H322" s="3"/>
      <c r="I322" s="3"/>
      <c r="J322" s="29"/>
      <c r="K322" s="1"/>
      <c r="L322" s="1"/>
      <c r="M322" s="54"/>
    </row>
    <row r="323" spans="1:13">
      <c r="A323" s="178"/>
      <c r="B323" s="22">
        <v>42101</v>
      </c>
      <c r="C323" s="1" t="s">
        <v>46</v>
      </c>
      <c r="D323" s="3"/>
      <c r="E323" s="3"/>
      <c r="F323" s="3"/>
      <c r="G323" s="3"/>
      <c r="H323" s="3"/>
      <c r="I323" s="3"/>
      <c r="J323" s="29"/>
      <c r="K323" s="1"/>
      <c r="L323" s="1"/>
      <c r="M323" s="54"/>
    </row>
    <row r="324" spans="1:13">
      <c r="A324" s="178"/>
      <c r="B324" s="22">
        <v>42102</v>
      </c>
      <c r="C324" s="1" t="s">
        <v>46</v>
      </c>
      <c r="D324" s="3"/>
      <c r="E324" s="3"/>
      <c r="F324" s="3"/>
      <c r="G324" s="3"/>
      <c r="H324" s="3"/>
      <c r="I324" s="3"/>
      <c r="J324" s="29"/>
      <c r="K324" s="1"/>
      <c r="L324" s="1"/>
      <c r="M324" s="54"/>
    </row>
    <row r="325" spans="1:13">
      <c r="A325" s="178"/>
      <c r="B325" s="22">
        <v>42103</v>
      </c>
      <c r="C325" s="1" t="s">
        <v>46</v>
      </c>
      <c r="D325" s="3">
        <v>9</v>
      </c>
      <c r="E325" s="3"/>
      <c r="F325" s="3"/>
      <c r="G325" s="3"/>
      <c r="H325" s="3"/>
      <c r="I325" s="3"/>
      <c r="J325" s="29"/>
      <c r="K325" s="1"/>
      <c r="L325" s="1"/>
      <c r="M325" s="54"/>
    </row>
    <row r="326" spans="1:13">
      <c r="A326" s="178"/>
      <c r="B326" s="22">
        <v>42104</v>
      </c>
      <c r="C326" s="1" t="s">
        <v>46</v>
      </c>
      <c r="D326" s="3">
        <v>9</v>
      </c>
      <c r="E326" s="3"/>
      <c r="F326" s="3"/>
      <c r="G326" s="3"/>
      <c r="H326" s="3"/>
      <c r="I326" s="3"/>
      <c r="J326" s="29"/>
      <c r="K326" s="1"/>
      <c r="L326" s="1"/>
      <c r="M326" s="54"/>
    </row>
    <row r="327" spans="1:13">
      <c r="A327" s="178"/>
      <c r="B327" s="22">
        <v>42105</v>
      </c>
      <c r="C327" s="1" t="s">
        <v>46</v>
      </c>
      <c r="D327" s="3">
        <v>9</v>
      </c>
      <c r="E327" s="3"/>
      <c r="F327" s="3"/>
      <c r="G327" s="3"/>
      <c r="H327" s="3"/>
      <c r="I327" s="3"/>
      <c r="J327" s="29"/>
      <c r="K327" s="1"/>
      <c r="L327" s="1"/>
      <c r="M327" s="54"/>
    </row>
    <row r="328" spans="1:13">
      <c r="A328" s="178"/>
      <c r="B328" s="22">
        <v>42106</v>
      </c>
      <c r="C328" s="1" t="s">
        <v>46</v>
      </c>
      <c r="D328" s="3">
        <v>9</v>
      </c>
      <c r="E328" s="3"/>
      <c r="F328" s="3"/>
      <c r="G328" s="3"/>
      <c r="H328" s="3"/>
      <c r="I328" s="3"/>
      <c r="J328" s="29"/>
      <c r="K328" s="1"/>
      <c r="L328" s="1"/>
      <c r="M328" s="54"/>
    </row>
    <row r="329" spans="1:13">
      <c r="A329" s="178"/>
      <c r="B329" s="22">
        <v>42107</v>
      </c>
      <c r="C329" s="1" t="s">
        <v>46</v>
      </c>
      <c r="D329" s="3">
        <v>9</v>
      </c>
      <c r="E329" s="3"/>
      <c r="F329" s="3"/>
      <c r="G329" s="3"/>
      <c r="H329" s="3"/>
      <c r="I329" s="3"/>
      <c r="J329" s="29"/>
      <c r="K329" s="1"/>
      <c r="L329" s="1"/>
      <c r="M329" s="54"/>
    </row>
    <row r="330" spans="1:13">
      <c r="A330" s="178"/>
      <c r="B330" s="22">
        <v>42108</v>
      </c>
      <c r="C330" s="1" t="s">
        <v>46</v>
      </c>
      <c r="D330" s="3"/>
      <c r="E330" s="3"/>
      <c r="F330" s="3"/>
      <c r="G330" s="3"/>
      <c r="H330" s="3"/>
      <c r="I330" s="3"/>
      <c r="J330" s="29"/>
      <c r="K330" s="1"/>
      <c r="L330" s="1"/>
      <c r="M330" s="54"/>
    </row>
    <row r="331" spans="1:13">
      <c r="A331" s="178"/>
      <c r="B331" s="22">
        <v>42109</v>
      </c>
      <c r="C331" s="1" t="s">
        <v>46</v>
      </c>
      <c r="D331" s="3"/>
      <c r="E331" s="3"/>
      <c r="F331" s="3"/>
      <c r="G331" s="3"/>
      <c r="H331" s="3"/>
      <c r="I331" s="3"/>
      <c r="J331" s="29"/>
      <c r="K331" s="1"/>
      <c r="L331" s="1"/>
      <c r="M331" s="54"/>
    </row>
    <row r="332" spans="1:13">
      <c r="A332" s="178"/>
      <c r="B332" s="22">
        <v>42110</v>
      </c>
      <c r="C332" s="1" t="s">
        <v>46</v>
      </c>
      <c r="D332" s="3">
        <v>9</v>
      </c>
      <c r="E332" s="3"/>
      <c r="F332" s="3"/>
      <c r="G332" s="3"/>
      <c r="H332" s="3"/>
      <c r="I332" s="3"/>
      <c r="J332" s="29"/>
      <c r="K332" s="1"/>
      <c r="L332" s="1"/>
      <c r="M332" s="54"/>
    </row>
    <row r="333" spans="1:13">
      <c r="A333" s="178"/>
      <c r="B333" s="22">
        <v>42111</v>
      </c>
      <c r="C333" s="1" t="s">
        <v>46</v>
      </c>
      <c r="D333" s="3">
        <v>9</v>
      </c>
      <c r="E333" s="3"/>
      <c r="F333" s="3"/>
      <c r="G333" s="3"/>
      <c r="H333" s="3"/>
      <c r="I333" s="3"/>
      <c r="J333" s="29"/>
      <c r="K333" s="1"/>
      <c r="L333" s="1"/>
      <c r="M333" s="54"/>
    </row>
    <row r="334" spans="1:13">
      <c r="A334" s="178"/>
      <c r="B334" s="22">
        <v>42112</v>
      </c>
      <c r="C334" s="1" t="s">
        <v>46</v>
      </c>
      <c r="D334" s="3">
        <v>9</v>
      </c>
      <c r="E334" s="3"/>
      <c r="F334" s="3"/>
      <c r="G334" s="3"/>
      <c r="H334" s="3"/>
      <c r="I334" s="3"/>
      <c r="J334" s="29"/>
      <c r="K334" s="1"/>
      <c r="L334" s="1"/>
      <c r="M334" s="54"/>
    </row>
    <row r="335" spans="1:13">
      <c r="A335" s="178"/>
      <c r="B335" s="22">
        <v>42113</v>
      </c>
      <c r="C335" s="1" t="s">
        <v>46</v>
      </c>
      <c r="D335" s="3">
        <v>9</v>
      </c>
      <c r="E335" s="3"/>
      <c r="F335" s="3"/>
      <c r="G335" s="3"/>
      <c r="H335" s="3"/>
      <c r="I335" s="3"/>
      <c r="J335" s="29"/>
      <c r="K335" s="1"/>
      <c r="L335" s="1"/>
      <c r="M335" s="54"/>
    </row>
    <row r="336" spans="1:13">
      <c r="A336" s="178"/>
      <c r="B336" s="22">
        <v>42114</v>
      </c>
      <c r="C336" s="1" t="s">
        <v>46</v>
      </c>
      <c r="D336" s="3">
        <v>9</v>
      </c>
      <c r="E336" s="3"/>
      <c r="F336" s="3"/>
      <c r="G336" s="3"/>
      <c r="H336" s="3"/>
      <c r="I336" s="3"/>
      <c r="J336" s="29"/>
      <c r="K336" s="1"/>
      <c r="L336" s="1"/>
      <c r="M336" s="54"/>
    </row>
    <row r="337" spans="1:18">
      <c r="A337" s="178"/>
      <c r="B337" s="22">
        <v>42115</v>
      </c>
      <c r="C337" s="1" t="s">
        <v>46</v>
      </c>
      <c r="D337" s="3"/>
      <c r="E337" s="3"/>
      <c r="F337" s="3"/>
      <c r="G337" s="3"/>
      <c r="H337" s="3"/>
      <c r="I337" s="3"/>
      <c r="J337" s="29"/>
      <c r="K337" s="1"/>
      <c r="L337" s="1"/>
      <c r="M337" s="54"/>
    </row>
    <row r="338" spans="1:18">
      <c r="A338" s="178"/>
      <c r="B338" s="22">
        <v>42116</v>
      </c>
      <c r="C338" s="1" t="s">
        <v>46</v>
      </c>
      <c r="D338" s="3">
        <v>7</v>
      </c>
      <c r="E338" s="3"/>
      <c r="F338" s="3"/>
      <c r="G338" s="3"/>
      <c r="H338" s="3"/>
      <c r="I338" s="3"/>
      <c r="J338" s="29"/>
      <c r="K338" s="1"/>
      <c r="L338" s="1"/>
      <c r="M338" s="54"/>
    </row>
    <row r="339" spans="1:18">
      <c r="A339" s="178"/>
      <c r="B339" s="22">
        <v>42117</v>
      </c>
      <c r="C339" s="1" t="s">
        <v>46</v>
      </c>
      <c r="D339" s="3">
        <v>9</v>
      </c>
      <c r="E339" s="3"/>
      <c r="F339" s="3"/>
      <c r="G339" s="3"/>
      <c r="H339" s="3"/>
      <c r="I339" s="3"/>
      <c r="J339" s="29"/>
      <c r="K339" s="1"/>
      <c r="L339" s="1"/>
      <c r="M339" s="54"/>
    </row>
    <row r="340" spans="1:18">
      <c r="A340" s="178"/>
      <c r="B340" s="22">
        <v>42118</v>
      </c>
      <c r="C340" s="1" t="s">
        <v>46</v>
      </c>
      <c r="D340" s="3">
        <v>9</v>
      </c>
      <c r="E340" s="3"/>
      <c r="F340" s="3"/>
      <c r="G340" s="3"/>
      <c r="H340" s="3"/>
      <c r="I340" s="3"/>
      <c r="J340" s="29"/>
      <c r="K340" s="1"/>
      <c r="L340" s="1"/>
      <c r="M340" s="54"/>
    </row>
    <row r="341" spans="1:18">
      <c r="A341" s="178"/>
      <c r="B341" s="22">
        <v>42119</v>
      </c>
      <c r="C341" s="1" t="s">
        <v>46</v>
      </c>
      <c r="D341" s="3">
        <v>9</v>
      </c>
      <c r="E341" s="3"/>
      <c r="F341" s="3"/>
      <c r="G341" s="3"/>
      <c r="H341" s="3"/>
      <c r="I341" s="3"/>
      <c r="J341" s="29"/>
      <c r="K341" s="1"/>
      <c r="L341" s="1"/>
      <c r="M341" s="54"/>
    </row>
    <row r="342" spans="1:18">
      <c r="A342" s="178"/>
      <c r="B342" s="22">
        <v>42120</v>
      </c>
      <c r="C342" s="1" t="s">
        <v>46</v>
      </c>
      <c r="D342" s="3">
        <v>9</v>
      </c>
      <c r="E342" s="3"/>
      <c r="F342" s="3"/>
      <c r="G342" s="3"/>
      <c r="H342" s="3"/>
      <c r="I342" s="3"/>
      <c r="J342" s="29"/>
      <c r="K342" s="1"/>
      <c r="L342" s="1"/>
      <c r="M342" s="54"/>
    </row>
    <row r="343" spans="1:18">
      <c r="A343" s="178"/>
      <c r="B343" s="22">
        <v>42121</v>
      </c>
      <c r="C343" s="1" t="s">
        <v>46</v>
      </c>
      <c r="D343" s="3">
        <v>9</v>
      </c>
      <c r="E343" s="3"/>
      <c r="F343" s="3"/>
      <c r="G343" s="3"/>
      <c r="H343" s="3"/>
      <c r="I343" s="3"/>
      <c r="J343" s="29"/>
      <c r="K343" s="1"/>
      <c r="L343" s="1"/>
      <c r="M343" s="54"/>
    </row>
    <row r="344" spans="1:18">
      <c r="A344" s="178"/>
      <c r="B344" s="22">
        <v>42122</v>
      </c>
      <c r="C344" s="1" t="s">
        <v>46</v>
      </c>
      <c r="D344" s="3"/>
      <c r="E344" s="3"/>
      <c r="F344" s="3"/>
      <c r="G344" s="3"/>
      <c r="H344" s="3"/>
      <c r="I344" s="3"/>
      <c r="J344" s="29"/>
      <c r="K344" s="1"/>
      <c r="L344" s="1"/>
      <c r="M344" s="54"/>
    </row>
    <row r="345" spans="1:18">
      <c r="A345" s="178"/>
      <c r="B345" s="22">
        <v>42123</v>
      </c>
      <c r="C345" s="1" t="s">
        <v>46</v>
      </c>
      <c r="D345" s="3"/>
      <c r="E345" s="3"/>
      <c r="F345" s="3"/>
      <c r="G345" s="3"/>
      <c r="H345" s="3"/>
      <c r="I345" s="3"/>
      <c r="J345" s="29"/>
      <c r="K345" s="1"/>
      <c r="L345" s="1"/>
      <c r="M345" s="54"/>
    </row>
    <row r="346" spans="1:18" ht="15.75" thickBot="1">
      <c r="A346" s="178"/>
      <c r="B346" s="23">
        <v>42124</v>
      </c>
      <c r="C346" s="1" t="s">
        <v>46</v>
      </c>
      <c r="D346" s="19">
        <v>9</v>
      </c>
      <c r="E346" s="3"/>
      <c r="F346" s="3"/>
      <c r="G346" s="3"/>
      <c r="H346" s="3"/>
      <c r="I346" s="3"/>
      <c r="J346" s="1"/>
      <c r="K346" s="1"/>
      <c r="L346" s="1"/>
      <c r="M346" s="54"/>
    </row>
    <row r="347" spans="1:18" ht="15.75" thickBot="1">
      <c r="A347" s="179"/>
      <c r="B347" s="24" t="s">
        <v>92</v>
      </c>
      <c r="C347" s="20"/>
      <c r="D347" s="21">
        <f>SUM(D317:D346)</f>
        <v>196</v>
      </c>
      <c r="E347"/>
      <c r="F347"/>
      <c r="G347"/>
      <c r="H347"/>
      <c r="I347"/>
    </row>
    <row r="348" spans="1:18" ht="15.75" thickBot="1">
      <c r="A348" s="149"/>
      <c r="B348" s="150"/>
      <c r="C348" s="150"/>
      <c r="D348" s="150"/>
      <c r="E348" s="150"/>
      <c r="F348" s="150"/>
      <c r="G348" s="150"/>
      <c r="H348" s="150"/>
      <c r="I348" s="150"/>
      <c r="J348" s="150"/>
      <c r="K348" s="150"/>
      <c r="L348" s="150"/>
      <c r="M348" s="150"/>
      <c r="N348" s="150"/>
      <c r="O348" s="150"/>
      <c r="P348" s="150"/>
      <c r="Q348" s="150"/>
      <c r="R348" s="151"/>
    </row>
  </sheetData>
  <mergeCells count="37">
    <mergeCell ref="A317:A347"/>
    <mergeCell ref="A348:R348"/>
    <mergeCell ref="E277:H277"/>
    <mergeCell ref="I277:L277"/>
    <mergeCell ref="A279:A309"/>
    <mergeCell ref="A310:R310"/>
    <mergeCell ref="E315:H315"/>
    <mergeCell ref="I315:L315"/>
    <mergeCell ref="A241:A271"/>
    <mergeCell ref="A272:R272"/>
    <mergeCell ref="A160:R160"/>
    <mergeCell ref="A48:R48"/>
    <mergeCell ref="E52:H52"/>
    <mergeCell ref="I52:L52"/>
    <mergeCell ref="A54:A84"/>
    <mergeCell ref="A85:R85"/>
    <mergeCell ref="E89:H89"/>
    <mergeCell ref="I89:L89"/>
    <mergeCell ref="A91:A121"/>
    <mergeCell ref="A122:R122"/>
    <mergeCell ref="E127:H127"/>
    <mergeCell ref="C1:D1"/>
    <mergeCell ref="E15:H15"/>
    <mergeCell ref="I15:L15"/>
    <mergeCell ref="A17:A46"/>
    <mergeCell ref="E239:H239"/>
    <mergeCell ref="I239:L239"/>
    <mergeCell ref="I127:L127"/>
    <mergeCell ref="A129:A159"/>
    <mergeCell ref="A203:A233"/>
    <mergeCell ref="A234:R234"/>
    <mergeCell ref="E164:H164"/>
    <mergeCell ref="I164:L164"/>
    <mergeCell ref="A166:A196"/>
    <mergeCell ref="A197:R197"/>
    <mergeCell ref="E201:H201"/>
    <mergeCell ref="I201:L201"/>
  </mergeCells>
  <conditionalFormatting sqref="C17:C46 C54:C83 C91:C120 C129:C158 C166:C195 C203:C232 C241:C270 C279:C308 C317:C346">
    <cfRule type="cellIs" dxfId="31" priority="9" operator="equal">
      <formula>"Leave"</formula>
    </cfRule>
    <cfRule type="cellIs" dxfId="30" priority="10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7:C46 C317:C346 C279:C308 C241:C270 C54:C83 C91:C120 C129:C158 C166:C195 C203:C232">
      <formula1>Tasks</formula1>
    </dataValidation>
  </dataValidations>
  <hyperlinks>
    <hyperlink ref="A3" location="Factory!A21" display="Shraddha Padelkar"/>
    <hyperlink ref="A4" location="Factory!A58" display="Abhinav Kashyap"/>
    <hyperlink ref="A5" location="Factory!A95" display="Akshay Kanadia"/>
    <hyperlink ref="A6" location="Factory!A133" display="Devino Menezes"/>
    <hyperlink ref="A7" location="Factory!A170" display="Rohit Pal"/>
    <hyperlink ref="A8" location="Factory!A207" display="Rehman Khan"/>
    <hyperlink ref="A9" location="Factory!A245" display="Ravindra Gundale"/>
    <hyperlink ref="A10" location="Factory!A283" display="Ashish Sisodiya"/>
    <hyperlink ref="A11" location="Factory!A321" display="Sachin Shah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9999FF"/>
  </sheetPr>
  <dimension ref="A1:AT125"/>
  <sheetViews>
    <sheetView zoomScale="90" zoomScaleNormal="90" workbookViewId="0">
      <selection activeCell="B12" sqref="B12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70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71</v>
      </c>
      <c r="C4" s="46" t="s">
        <v>38</v>
      </c>
      <c r="D4" s="46">
        <f>1/4</f>
        <v>0.25</v>
      </c>
      <c r="F4"/>
      <c r="G4"/>
      <c r="H4"/>
      <c r="I4"/>
    </row>
    <row r="5" spans="1:46">
      <c r="A5" s="57" t="s">
        <v>78</v>
      </c>
      <c r="C5" s="46" t="s">
        <v>39</v>
      </c>
      <c r="D5" s="53">
        <f>20/60</f>
        <v>0.33333333333333331</v>
      </c>
      <c r="F5"/>
      <c r="G5"/>
      <c r="H5"/>
      <c r="I5"/>
    </row>
    <row r="6" spans="1:46">
      <c r="C6" s="46" t="s">
        <v>40</v>
      </c>
      <c r="D6" s="53">
        <f>25/60</f>
        <v>0.41666666666666669</v>
      </c>
      <c r="F6"/>
      <c r="G6"/>
      <c r="H6"/>
      <c r="I6"/>
    </row>
    <row r="7" spans="1:46">
      <c r="C7" s="46" t="s">
        <v>41</v>
      </c>
      <c r="D7" s="46">
        <f>30/60</f>
        <v>0.5</v>
      </c>
      <c r="F7"/>
      <c r="G7"/>
      <c r="H7"/>
      <c r="I7"/>
    </row>
    <row r="8" spans="1:46">
      <c r="C8" s="53" t="s">
        <v>42</v>
      </c>
      <c r="D8" s="53">
        <f>40/60</f>
        <v>0.66666666666666663</v>
      </c>
      <c r="F8"/>
      <c r="G8"/>
      <c r="H8"/>
      <c r="I8"/>
    </row>
    <row r="9" spans="1:46"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>
      <c r="C11" s="12"/>
      <c r="D11" s="12"/>
      <c r="F11"/>
      <c r="G11"/>
      <c r="H11"/>
      <c r="I11"/>
    </row>
    <row r="12" spans="1:46" s="6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65" customFormat="1" ht="15.75" thickBo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34.5" customHeight="1" thickBot="1">
      <c r="E14" s="161" t="s">
        <v>110</v>
      </c>
      <c r="F14" s="162"/>
      <c r="G14" s="162"/>
      <c r="H14" s="163"/>
      <c r="I14" s="164" t="s">
        <v>116</v>
      </c>
      <c r="J14" s="165"/>
      <c r="K14" s="165"/>
      <c r="L14" s="166"/>
    </row>
    <row r="15" spans="1:46" ht="15.75" thickBot="1">
      <c r="A15" s="33" t="s">
        <v>91</v>
      </c>
      <c r="B15" s="33" t="s">
        <v>109</v>
      </c>
      <c r="C15" s="34" t="s">
        <v>11</v>
      </c>
      <c r="D15" s="34" t="s">
        <v>10</v>
      </c>
      <c r="E15" s="35" t="s">
        <v>111</v>
      </c>
      <c r="F15" s="36" t="s">
        <v>112</v>
      </c>
      <c r="G15" s="37" t="s">
        <v>113</v>
      </c>
      <c r="H15" s="38" t="s">
        <v>114</v>
      </c>
      <c r="I15" s="35" t="s">
        <v>111</v>
      </c>
      <c r="J15" s="36" t="s">
        <v>112</v>
      </c>
      <c r="K15" s="37" t="s">
        <v>113</v>
      </c>
      <c r="L15" s="38" t="s">
        <v>114</v>
      </c>
      <c r="M15" s="34" t="s">
        <v>115</v>
      </c>
    </row>
    <row r="16" spans="1:46">
      <c r="A16" s="167" t="s">
        <v>70</v>
      </c>
      <c r="B16" s="30">
        <v>42125</v>
      </c>
      <c r="C16" s="18" t="s">
        <v>46</v>
      </c>
      <c r="D16" s="31"/>
      <c r="E16" s="31"/>
      <c r="F16" s="31"/>
      <c r="G16" s="31"/>
      <c r="H16" s="31"/>
      <c r="I16" s="31"/>
      <c r="J16" s="32"/>
      <c r="K16" s="18"/>
      <c r="L16" s="18"/>
      <c r="M16" s="54"/>
    </row>
    <row r="17" spans="1:13">
      <c r="A17" s="167"/>
      <c r="B17" s="22">
        <v>42126</v>
      </c>
      <c r="C17" s="1" t="s">
        <v>46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30">
        <v>42127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22">
        <v>42128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30">
        <v>42129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22">
        <v>42130</v>
      </c>
      <c r="C21" s="1" t="s">
        <v>46</v>
      </c>
      <c r="D21" s="3">
        <v>9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30">
        <v>42131</v>
      </c>
      <c r="C22" s="1" t="s">
        <v>46</v>
      </c>
      <c r="D22" s="3"/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22">
        <v>42132</v>
      </c>
      <c r="C23" s="1" t="s">
        <v>46</v>
      </c>
      <c r="D23" s="3"/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30">
        <v>42133</v>
      </c>
      <c r="C24" s="1" t="s">
        <v>46</v>
      </c>
      <c r="D24" s="3">
        <v>9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22">
        <v>42134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30">
        <v>42135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22">
        <v>42136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30">
        <v>42137</v>
      </c>
      <c r="C28" s="1" t="s">
        <v>46</v>
      </c>
      <c r="D28" s="3">
        <v>9</v>
      </c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22">
        <v>42138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30">
        <v>42139</v>
      </c>
      <c r="C30" s="1" t="s">
        <v>46</v>
      </c>
      <c r="D30" s="3"/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22">
        <v>42140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30">
        <v>42141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22">
        <v>42142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30">
        <v>42143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22">
        <v>42144</v>
      </c>
      <c r="C35" s="1" t="s">
        <v>46</v>
      </c>
      <c r="D35" s="3">
        <v>9</v>
      </c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30">
        <v>42145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22">
        <v>42146</v>
      </c>
      <c r="C37" s="1" t="s">
        <v>46</v>
      </c>
      <c r="D37" s="3"/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30">
        <v>42147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22">
        <v>42148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30">
        <v>42149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22">
        <v>42150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30">
        <v>42151</v>
      </c>
      <c r="C42" s="1" t="s">
        <v>46</v>
      </c>
      <c r="D42" s="3">
        <v>9</v>
      </c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22">
        <v>42152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>
      <c r="A44" s="167"/>
      <c r="B44" s="30">
        <v>42153</v>
      </c>
      <c r="C44" s="1" t="s">
        <v>46</v>
      </c>
      <c r="D44" s="3"/>
      <c r="E44" s="3"/>
      <c r="F44" s="3"/>
      <c r="G44" s="3"/>
      <c r="H44" s="3"/>
      <c r="I44" s="3"/>
      <c r="J44" s="29"/>
      <c r="K44" s="1"/>
      <c r="L44" s="1"/>
      <c r="M44" s="54"/>
    </row>
    <row r="45" spans="1:18" ht="15.75" thickBot="1">
      <c r="A45" s="167"/>
      <c r="B45" s="22">
        <v>42154</v>
      </c>
      <c r="C45" s="1" t="s">
        <v>46</v>
      </c>
      <c r="D45" s="19">
        <v>9</v>
      </c>
      <c r="E45" s="3"/>
      <c r="F45" s="3"/>
      <c r="G45" s="3"/>
      <c r="H45" s="3"/>
      <c r="I45" s="3"/>
      <c r="J45" s="1"/>
      <c r="K45" s="1"/>
      <c r="L45" s="1"/>
      <c r="M45" s="54"/>
    </row>
    <row r="46" spans="1:18" ht="15.75" thickBot="1">
      <c r="A46" s="61"/>
      <c r="B46" s="62" t="s">
        <v>92</v>
      </c>
      <c r="C46" s="63"/>
      <c r="D46" s="64">
        <f>SUM(D16:D45)</f>
        <v>189</v>
      </c>
      <c r="E46"/>
      <c r="F46"/>
      <c r="G46"/>
      <c r="H46"/>
      <c r="I46"/>
    </row>
    <row r="47" spans="1:18" ht="15.75" thickBot="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>
      <c r="B48"/>
      <c r="D48"/>
      <c r="E48"/>
      <c r="F48"/>
      <c r="G48"/>
      <c r="H48"/>
      <c r="I48"/>
    </row>
    <row r="49" spans="1:13">
      <c r="B49"/>
      <c r="D49"/>
      <c r="E49"/>
      <c r="F49"/>
      <c r="G49"/>
      <c r="H49"/>
      <c r="I49"/>
    </row>
    <row r="50" spans="1:13" ht="15.75" thickBot="1">
      <c r="B50"/>
      <c r="D50"/>
      <c r="E50"/>
      <c r="F50"/>
      <c r="G50"/>
      <c r="H50"/>
      <c r="I50"/>
    </row>
    <row r="51" spans="1:13" ht="15.75" thickBot="1">
      <c r="E51" s="161" t="s">
        <v>110</v>
      </c>
      <c r="F51" s="162"/>
      <c r="G51" s="162"/>
      <c r="H51" s="163"/>
      <c r="I51" s="164" t="s">
        <v>116</v>
      </c>
      <c r="J51" s="165"/>
      <c r="K51" s="165"/>
      <c r="L51" s="166"/>
    </row>
    <row r="52" spans="1:13" ht="15.75" thickBot="1">
      <c r="A52" s="55" t="s">
        <v>91</v>
      </c>
      <c r="B52" s="33" t="s">
        <v>109</v>
      </c>
      <c r="C52" s="34" t="s">
        <v>11</v>
      </c>
      <c r="D52" s="34" t="s">
        <v>10</v>
      </c>
      <c r="E52" s="35" t="s">
        <v>111</v>
      </c>
      <c r="F52" s="36" t="s">
        <v>112</v>
      </c>
      <c r="G52" s="37" t="s">
        <v>113</v>
      </c>
      <c r="H52" s="38" t="s">
        <v>114</v>
      </c>
      <c r="I52" s="35" t="s">
        <v>111</v>
      </c>
      <c r="J52" s="36" t="s">
        <v>112</v>
      </c>
      <c r="K52" s="37" t="s">
        <v>113</v>
      </c>
      <c r="L52" s="38" t="s">
        <v>114</v>
      </c>
      <c r="M52" s="34" t="s">
        <v>115</v>
      </c>
    </row>
    <row r="53" spans="1:13">
      <c r="A53" s="168" t="s">
        <v>71</v>
      </c>
      <c r="B53" s="30">
        <v>42095</v>
      </c>
      <c r="C53" s="18" t="s">
        <v>46</v>
      </c>
      <c r="D53" s="31"/>
      <c r="E53" s="31"/>
      <c r="F53" s="31"/>
      <c r="G53" s="31"/>
      <c r="H53" s="31"/>
      <c r="I53" s="31"/>
      <c r="J53" s="32"/>
      <c r="K53" s="18"/>
      <c r="L53" s="18"/>
      <c r="M53" s="54"/>
    </row>
    <row r="54" spans="1:13">
      <c r="A54" s="169"/>
      <c r="B54" s="22">
        <v>42096</v>
      </c>
      <c r="C54" s="1" t="s">
        <v>46</v>
      </c>
      <c r="D54" s="3">
        <v>9</v>
      </c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22">
        <v>42097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42098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42099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42100</v>
      </c>
      <c r="C58" s="1" t="s">
        <v>46</v>
      </c>
      <c r="D58" s="3">
        <v>9</v>
      </c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42101</v>
      </c>
      <c r="C59" s="1" t="s">
        <v>46</v>
      </c>
      <c r="D59" s="3"/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42102</v>
      </c>
      <c r="C60" s="1" t="s">
        <v>46</v>
      </c>
      <c r="D60" s="3"/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42103</v>
      </c>
      <c r="C61" s="1" t="s">
        <v>46</v>
      </c>
      <c r="D61" s="3">
        <v>9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42104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42105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42106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42107</v>
      </c>
      <c r="C65" s="1" t="s">
        <v>46</v>
      </c>
      <c r="D65" s="3">
        <v>9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42108</v>
      </c>
      <c r="C66" s="1" t="s">
        <v>46</v>
      </c>
      <c r="D66" s="3"/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42109</v>
      </c>
      <c r="C67" s="1" t="s">
        <v>46</v>
      </c>
      <c r="D67" s="3"/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42110</v>
      </c>
      <c r="C68" s="1" t="s">
        <v>46</v>
      </c>
      <c r="D68" s="3">
        <v>9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42111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42112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42113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42114</v>
      </c>
      <c r="C72" s="1" t="s">
        <v>46</v>
      </c>
      <c r="D72" s="3">
        <v>9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42115</v>
      </c>
      <c r="C73" s="1" t="s">
        <v>46</v>
      </c>
      <c r="D73" s="3"/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42116</v>
      </c>
      <c r="C74" s="1" t="s">
        <v>46</v>
      </c>
      <c r="D74" s="3"/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42117</v>
      </c>
      <c r="C75" s="1" t="s">
        <v>46</v>
      </c>
      <c r="D75" s="3">
        <v>9</v>
      </c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42118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42119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42120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42121</v>
      </c>
      <c r="C79" s="1" t="s">
        <v>46</v>
      </c>
      <c r="D79" s="3">
        <v>9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42122</v>
      </c>
      <c r="C80" s="1" t="s">
        <v>46</v>
      </c>
      <c r="D80" s="3"/>
      <c r="E80" s="3"/>
      <c r="F80" s="3"/>
      <c r="G80" s="3"/>
      <c r="H80" s="3"/>
      <c r="I80" s="3"/>
      <c r="J80" s="29"/>
      <c r="K80" s="1"/>
      <c r="L80" s="1"/>
      <c r="M80" s="54"/>
    </row>
    <row r="81" spans="1:18">
      <c r="A81" s="169"/>
      <c r="B81" s="22">
        <v>42123</v>
      </c>
      <c r="C81" s="1" t="s">
        <v>46</v>
      </c>
      <c r="D81" s="3"/>
      <c r="E81" s="3"/>
      <c r="F81" s="3"/>
      <c r="G81" s="3"/>
      <c r="H81" s="3"/>
      <c r="I81" s="3"/>
      <c r="J81" s="29"/>
      <c r="K81" s="1"/>
      <c r="L81" s="1"/>
      <c r="M81" s="54"/>
    </row>
    <row r="82" spans="1:18" ht="15.75" thickBot="1">
      <c r="A82" s="169"/>
      <c r="B82" s="23">
        <v>42124</v>
      </c>
      <c r="C82" s="1" t="s">
        <v>46</v>
      </c>
      <c r="D82" s="19">
        <v>9</v>
      </c>
      <c r="E82" s="3"/>
      <c r="F82" s="3"/>
      <c r="G82" s="3"/>
      <c r="H82" s="3"/>
      <c r="I82" s="3"/>
      <c r="J82" s="1"/>
      <c r="K82" s="1"/>
      <c r="L82" s="1"/>
      <c r="M82" s="54"/>
    </row>
    <row r="83" spans="1:18" ht="15.75" thickBot="1">
      <c r="A83" s="170"/>
      <c r="B83" s="24" t="s">
        <v>92</v>
      </c>
      <c r="C83" s="20"/>
      <c r="D83" s="21">
        <f>SUM(D53:D82)</f>
        <v>189</v>
      </c>
      <c r="E83"/>
      <c r="F83"/>
      <c r="G83"/>
      <c r="H83"/>
      <c r="I83"/>
    </row>
    <row r="84" spans="1:18" ht="15.75" thickBot="1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1"/>
    </row>
    <row r="85" spans="1:18">
      <c r="B85"/>
      <c r="D85"/>
      <c r="E85"/>
      <c r="F85"/>
      <c r="G85"/>
      <c r="H85"/>
      <c r="I85"/>
    </row>
    <row r="86" spans="1:18">
      <c r="B86"/>
      <c r="D86"/>
      <c r="E86"/>
      <c r="F86"/>
      <c r="G86"/>
      <c r="H86"/>
      <c r="I86"/>
    </row>
    <row r="87" spans="1:18" ht="15.75" thickBot="1">
      <c r="B87"/>
      <c r="D87"/>
      <c r="E87"/>
      <c r="F87"/>
      <c r="G87"/>
      <c r="H87"/>
      <c r="I87"/>
    </row>
    <row r="88" spans="1:18" ht="15.75" thickBot="1">
      <c r="E88" s="161" t="s">
        <v>110</v>
      </c>
      <c r="F88" s="162"/>
      <c r="G88" s="162"/>
      <c r="H88" s="163"/>
      <c r="I88" s="164" t="s">
        <v>116</v>
      </c>
      <c r="J88" s="165"/>
      <c r="K88" s="165"/>
      <c r="L88" s="166"/>
    </row>
    <row r="89" spans="1:18" ht="15.75" thickBot="1">
      <c r="A89" s="55" t="s">
        <v>91</v>
      </c>
      <c r="B89" s="33" t="s">
        <v>109</v>
      </c>
      <c r="C89" s="34" t="s">
        <v>11</v>
      </c>
      <c r="D89" s="34" t="s">
        <v>10</v>
      </c>
      <c r="E89" s="35" t="s">
        <v>111</v>
      </c>
      <c r="F89" s="36" t="s">
        <v>112</v>
      </c>
      <c r="G89" s="37" t="s">
        <v>113</v>
      </c>
      <c r="H89" s="38" t="s">
        <v>114</v>
      </c>
      <c r="I89" s="35" t="s">
        <v>111</v>
      </c>
      <c r="J89" s="36" t="s">
        <v>112</v>
      </c>
      <c r="K89" s="37" t="s">
        <v>113</v>
      </c>
      <c r="L89" s="38" t="s">
        <v>114</v>
      </c>
      <c r="M89" s="34" t="s">
        <v>115</v>
      </c>
    </row>
    <row r="90" spans="1:18">
      <c r="A90" s="171" t="s">
        <v>78</v>
      </c>
      <c r="B90" s="30">
        <v>42095</v>
      </c>
      <c r="C90" s="18" t="s">
        <v>46</v>
      </c>
      <c r="D90" s="31"/>
      <c r="E90" s="31"/>
      <c r="F90" s="31"/>
      <c r="G90" s="31"/>
      <c r="H90" s="31"/>
      <c r="I90" s="31"/>
      <c r="J90" s="32"/>
      <c r="K90" s="18"/>
      <c r="L90" s="18"/>
      <c r="M90" s="54"/>
    </row>
    <row r="91" spans="1:18">
      <c r="A91" s="171"/>
      <c r="B91" s="22">
        <v>42096</v>
      </c>
      <c r="C91" s="1" t="s">
        <v>46</v>
      </c>
      <c r="D91" s="3">
        <v>9</v>
      </c>
      <c r="E91" s="3"/>
      <c r="F91" s="3"/>
      <c r="G91" s="3"/>
      <c r="H91" s="3"/>
      <c r="I91" s="3"/>
      <c r="J91" s="29"/>
      <c r="K91" s="1"/>
      <c r="L91" s="1"/>
      <c r="M91" s="54"/>
    </row>
    <row r="92" spans="1:18">
      <c r="A92" s="171"/>
      <c r="B92" s="22">
        <v>42097</v>
      </c>
      <c r="C92" s="1" t="s">
        <v>46</v>
      </c>
      <c r="D92" s="3">
        <v>9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8">
      <c r="A93" s="171"/>
      <c r="B93" s="22">
        <v>42098</v>
      </c>
      <c r="C93" s="1" t="s">
        <v>46</v>
      </c>
      <c r="D93" s="3">
        <v>9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8">
      <c r="A94" s="171"/>
      <c r="B94" s="22">
        <v>42099</v>
      </c>
      <c r="C94" s="1" t="s">
        <v>46</v>
      </c>
      <c r="D94" s="3">
        <v>9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8">
      <c r="A95" s="171"/>
      <c r="B95" s="22">
        <v>42100</v>
      </c>
      <c r="C95" s="1" t="s">
        <v>46</v>
      </c>
      <c r="D95" s="3">
        <v>9</v>
      </c>
      <c r="E95" s="3"/>
      <c r="F95" s="3"/>
      <c r="G95" s="3"/>
      <c r="H95" s="3"/>
      <c r="I95" s="3"/>
      <c r="J95" s="29"/>
      <c r="K95" s="1"/>
      <c r="L95" s="1"/>
      <c r="M95" s="54"/>
    </row>
    <row r="96" spans="1:18">
      <c r="A96" s="171"/>
      <c r="B96" s="22">
        <v>42101</v>
      </c>
      <c r="C96" s="1" t="s">
        <v>46</v>
      </c>
      <c r="D96" s="3"/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71"/>
      <c r="B97" s="22">
        <v>42102</v>
      </c>
      <c r="C97" s="1" t="s">
        <v>46</v>
      </c>
      <c r="D97" s="3"/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71"/>
      <c r="B98" s="22">
        <v>42103</v>
      </c>
      <c r="C98" s="1" t="s">
        <v>46</v>
      </c>
      <c r="D98" s="3">
        <v>9</v>
      </c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71"/>
      <c r="B99" s="22">
        <v>42104</v>
      </c>
      <c r="C99" s="1" t="s">
        <v>46</v>
      </c>
      <c r="D99" s="3">
        <v>9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71"/>
      <c r="B100" s="22">
        <v>42105</v>
      </c>
      <c r="C100" s="1" t="s">
        <v>46</v>
      </c>
      <c r="D100" s="3">
        <v>9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71"/>
      <c r="B101" s="22">
        <v>42106</v>
      </c>
      <c r="C101" s="1" t="s">
        <v>46</v>
      </c>
      <c r="D101" s="3">
        <v>9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71"/>
      <c r="B102" s="22">
        <v>42107</v>
      </c>
      <c r="C102" s="1" t="s">
        <v>46</v>
      </c>
      <c r="D102" s="3">
        <v>9</v>
      </c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71"/>
      <c r="B103" s="22">
        <v>42108</v>
      </c>
      <c r="C103" s="1" t="s">
        <v>46</v>
      </c>
      <c r="D103" s="3"/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71"/>
      <c r="B104" s="22">
        <v>42109</v>
      </c>
      <c r="C104" s="1" t="s">
        <v>46</v>
      </c>
      <c r="D104" s="3"/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71"/>
      <c r="B105" s="22">
        <v>42110</v>
      </c>
      <c r="C105" s="1" t="s">
        <v>46</v>
      </c>
      <c r="D105" s="3">
        <v>9</v>
      </c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71"/>
      <c r="B106" s="22">
        <v>42111</v>
      </c>
      <c r="C106" s="1" t="s">
        <v>46</v>
      </c>
      <c r="D106" s="3">
        <v>9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71"/>
      <c r="B107" s="22">
        <v>42112</v>
      </c>
      <c r="C107" s="1" t="s">
        <v>46</v>
      </c>
      <c r="D107" s="3">
        <v>9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71"/>
      <c r="B108" s="22">
        <v>42113</v>
      </c>
      <c r="C108" s="1" t="s">
        <v>46</v>
      </c>
      <c r="D108" s="3">
        <v>9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71"/>
      <c r="B109" s="22">
        <v>42114</v>
      </c>
      <c r="C109" s="1" t="s">
        <v>46</v>
      </c>
      <c r="D109" s="3">
        <v>9</v>
      </c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71"/>
      <c r="B110" s="22">
        <v>42115</v>
      </c>
      <c r="C110" s="1" t="s">
        <v>46</v>
      </c>
      <c r="D110" s="3"/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71"/>
      <c r="B111" s="22">
        <v>42116</v>
      </c>
      <c r="C111" s="1" t="s">
        <v>46</v>
      </c>
      <c r="D111" s="3"/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71"/>
      <c r="B112" s="22">
        <v>42117</v>
      </c>
      <c r="C112" s="1" t="s">
        <v>46</v>
      </c>
      <c r="D112" s="3">
        <v>9</v>
      </c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71"/>
      <c r="B113" s="22">
        <v>42118</v>
      </c>
      <c r="C113" s="1" t="s">
        <v>46</v>
      </c>
      <c r="D113" s="3">
        <v>9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71"/>
      <c r="B114" s="22">
        <v>42119</v>
      </c>
      <c r="C114" s="1" t="s">
        <v>46</v>
      </c>
      <c r="D114" s="3">
        <v>9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71"/>
      <c r="B115" s="22">
        <v>42120</v>
      </c>
      <c r="C115" s="1" t="s">
        <v>46</v>
      </c>
      <c r="D115" s="3">
        <v>9</v>
      </c>
      <c r="E115" s="3"/>
      <c r="F115" s="3"/>
      <c r="G115" s="3"/>
      <c r="H115" s="3"/>
      <c r="I115" s="3"/>
      <c r="J115" s="29"/>
      <c r="K115" s="1"/>
      <c r="L115" s="1"/>
      <c r="M115" s="54"/>
    </row>
    <row r="116" spans="1:18">
      <c r="A116" s="171"/>
      <c r="B116" s="22">
        <v>42121</v>
      </c>
      <c r="C116" s="1" t="s">
        <v>46</v>
      </c>
      <c r="D116" s="3">
        <v>9</v>
      </c>
      <c r="E116" s="3"/>
      <c r="F116" s="3"/>
      <c r="G116" s="3"/>
      <c r="H116" s="3"/>
      <c r="I116" s="3"/>
      <c r="J116" s="29"/>
      <c r="K116" s="1"/>
      <c r="L116" s="1"/>
      <c r="M116" s="54"/>
    </row>
    <row r="117" spans="1:18">
      <c r="A117" s="171"/>
      <c r="B117" s="22">
        <v>42122</v>
      </c>
      <c r="C117" s="1" t="s">
        <v>46</v>
      </c>
      <c r="D117" s="3"/>
      <c r="E117" s="3"/>
      <c r="F117" s="3"/>
      <c r="G117" s="3"/>
      <c r="H117" s="3"/>
      <c r="I117" s="3"/>
      <c r="J117" s="29"/>
      <c r="K117" s="1"/>
      <c r="L117" s="1"/>
      <c r="M117" s="54"/>
    </row>
    <row r="118" spans="1:18">
      <c r="A118" s="171"/>
      <c r="B118" s="22">
        <v>42123</v>
      </c>
      <c r="C118" s="1" t="s">
        <v>46</v>
      </c>
      <c r="D118" s="3"/>
      <c r="E118" s="3"/>
      <c r="F118" s="3"/>
      <c r="G118" s="3"/>
      <c r="H118" s="3"/>
      <c r="I118" s="3"/>
      <c r="J118" s="29"/>
      <c r="K118" s="1"/>
      <c r="L118" s="1"/>
      <c r="M118" s="54"/>
    </row>
    <row r="119" spans="1:18" ht="15.75" thickBot="1">
      <c r="A119" s="171"/>
      <c r="B119" s="23">
        <v>42124</v>
      </c>
      <c r="C119" s="1" t="s">
        <v>46</v>
      </c>
      <c r="D119" s="19">
        <v>9</v>
      </c>
      <c r="E119" s="3"/>
      <c r="F119" s="3"/>
      <c r="G119" s="3"/>
      <c r="H119" s="3"/>
      <c r="I119" s="3"/>
      <c r="J119" s="1"/>
      <c r="K119" s="1"/>
      <c r="L119" s="1"/>
      <c r="M119" s="54"/>
    </row>
    <row r="120" spans="1:18" ht="15.75" thickBot="1">
      <c r="A120" s="171"/>
      <c r="B120" s="24" t="s">
        <v>92</v>
      </c>
      <c r="C120" s="20"/>
      <c r="D120" s="21">
        <f>SUM(D90:D119)</f>
        <v>189</v>
      </c>
      <c r="E120"/>
      <c r="F120"/>
      <c r="G120"/>
      <c r="H120"/>
      <c r="I120"/>
    </row>
    <row r="121" spans="1:18" ht="15.75" thickBot="1">
      <c r="A121" s="149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1"/>
    </row>
    <row r="122" spans="1:18">
      <c r="B122"/>
      <c r="D122"/>
      <c r="E122"/>
      <c r="F122"/>
      <c r="G122"/>
      <c r="H122"/>
      <c r="I122"/>
    </row>
    <row r="123" spans="1:18">
      <c r="B123"/>
      <c r="D123"/>
      <c r="E123"/>
      <c r="F123"/>
      <c r="G123"/>
      <c r="H123"/>
      <c r="I123"/>
    </row>
    <row r="124" spans="1:18">
      <c r="B124"/>
      <c r="D124"/>
      <c r="E124"/>
      <c r="F124"/>
      <c r="G124"/>
      <c r="H124"/>
      <c r="I124"/>
    </row>
    <row r="125" spans="1:18">
      <c r="B125"/>
      <c r="D125"/>
      <c r="E125"/>
      <c r="F125"/>
      <c r="G125"/>
      <c r="H125"/>
      <c r="I125"/>
    </row>
  </sheetData>
  <mergeCells count="13">
    <mergeCell ref="A16:A45"/>
    <mergeCell ref="C1:D1"/>
    <mergeCell ref="E14:H14"/>
    <mergeCell ref="I14:L14"/>
    <mergeCell ref="E88:H88"/>
    <mergeCell ref="I88:L88"/>
    <mergeCell ref="A90:A120"/>
    <mergeCell ref="A121:R121"/>
    <mergeCell ref="A47:R47"/>
    <mergeCell ref="E51:H51"/>
    <mergeCell ref="I51:L51"/>
    <mergeCell ref="A53:A83"/>
    <mergeCell ref="A84:R84"/>
  </mergeCells>
  <conditionalFormatting sqref="C16:C45 C53:C82 C90:C119">
    <cfRule type="cellIs" dxfId="29" priority="1" operator="equal">
      <formula>"Leave"</formula>
    </cfRule>
    <cfRule type="cellIs" dxfId="28" priority="2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6:C45 C53:C82 C90:C119">
      <formula1>Tasks</formula1>
    </dataValidation>
  </dataValidations>
  <hyperlinks>
    <hyperlink ref="A3" location="Service!A21" display="Sajesh Advilkar"/>
    <hyperlink ref="A4" location="Service!A58" display="Rakesh Kochare"/>
    <hyperlink ref="A5" location="Service!A95" display="Shariq Rahman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00FF00"/>
  </sheetPr>
  <dimension ref="A1:AT87"/>
  <sheetViews>
    <sheetView zoomScale="90" zoomScaleNormal="90" workbookViewId="0">
      <selection activeCell="B10" sqref="B10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80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81</v>
      </c>
      <c r="C4" s="46" t="s">
        <v>38</v>
      </c>
      <c r="D4" s="46">
        <f>1/4</f>
        <v>0.25</v>
      </c>
      <c r="F4"/>
      <c r="G4"/>
      <c r="H4"/>
      <c r="I4"/>
    </row>
    <row r="5" spans="1:46">
      <c r="C5" s="46" t="s">
        <v>39</v>
      </c>
      <c r="D5" s="53">
        <f>20/60</f>
        <v>0.33333333333333331</v>
      </c>
      <c r="F5"/>
      <c r="G5"/>
      <c r="H5"/>
      <c r="I5"/>
    </row>
    <row r="6" spans="1:46">
      <c r="C6" s="46" t="s">
        <v>40</v>
      </c>
      <c r="D6" s="53">
        <f>25/60</f>
        <v>0.41666666666666669</v>
      </c>
      <c r="F6"/>
      <c r="G6"/>
      <c r="H6"/>
      <c r="I6"/>
    </row>
    <row r="7" spans="1:46">
      <c r="C7" s="46" t="s">
        <v>41</v>
      </c>
      <c r="D7" s="46">
        <f>30/60</f>
        <v>0.5</v>
      </c>
      <c r="F7"/>
      <c r="G7"/>
      <c r="H7"/>
      <c r="I7"/>
    </row>
    <row r="8" spans="1:46">
      <c r="C8" s="53" t="s">
        <v>42</v>
      </c>
      <c r="D8" s="53">
        <f>40/60</f>
        <v>0.66666666666666663</v>
      </c>
      <c r="F8"/>
      <c r="G8"/>
      <c r="H8"/>
      <c r="I8"/>
    </row>
    <row r="9" spans="1:46"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>
      <c r="C11" s="12"/>
      <c r="D11" s="12"/>
      <c r="F11"/>
      <c r="G11"/>
      <c r="H11"/>
      <c r="I11"/>
    </row>
    <row r="12" spans="1:46" s="6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65" customFormat="1" ht="15.75" thickBo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34.5" customHeight="1" thickBot="1">
      <c r="E14" s="161" t="s">
        <v>110</v>
      </c>
      <c r="F14" s="162"/>
      <c r="G14" s="162"/>
      <c r="H14" s="163"/>
      <c r="I14" s="164" t="s">
        <v>116</v>
      </c>
      <c r="J14" s="165"/>
      <c r="K14" s="165"/>
      <c r="L14" s="166"/>
    </row>
    <row r="15" spans="1:46" ht="15.75" thickBot="1">
      <c r="A15" s="33" t="s">
        <v>91</v>
      </c>
      <c r="B15" s="33" t="s">
        <v>109</v>
      </c>
      <c r="C15" s="34" t="s">
        <v>11</v>
      </c>
      <c r="D15" s="34" t="s">
        <v>10</v>
      </c>
      <c r="E15" s="35" t="s">
        <v>111</v>
      </c>
      <c r="F15" s="36" t="s">
        <v>112</v>
      </c>
      <c r="G15" s="37" t="s">
        <v>113</v>
      </c>
      <c r="H15" s="38" t="s">
        <v>114</v>
      </c>
      <c r="I15" s="35" t="s">
        <v>111</v>
      </c>
      <c r="J15" s="36" t="s">
        <v>112</v>
      </c>
      <c r="K15" s="37" t="s">
        <v>113</v>
      </c>
      <c r="L15" s="38" t="s">
        <v>114</v>
      </c>
      <c r="M15" s="34" t="s">
        <v>115</v>
      </c>
    </row>
    <row r="16" spans="1:46">
      <c r="A16" s="167" t="s">
        <v>80</v>
      </c>
      <c r="B16" s="30">
        <v>42125</v>
      </c>
      <c r="C16" s="18" t="s">
        <v>46</v>
      </c>
      <c r="D16" s="31"/>
      <c r="E16" s="31"/>
      <c r="F16" s="31"/>
      <c r="G16" s="31"/>
      <c r="H16" s="31"/>
      <c r="I16" s="31"/>
      <c r="J16" s="32"/>
      <c r="K16" s="18"/>
      <c r="L16" s="18"/>
      <c r="M16" s="54"/>
    </row>
    <row r="17" spans="1:13">
      <c r="A17" s="167"/>
      <c r="B17" s="22">
        <v>42126</v>
      </c>
      <c r="C17" s="1" t="s">
        <v>46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30">
        <v>42127</v>
      </c>
      <c r="C18" s="1" t="s">
        <v>23</v>
      </c>
      <c r="D18" s="3">
        <v>20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22">
        <v>42128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30">
        <v>42129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22">
        <v>42130</v>
      </c>
      <c r="C21" s="1" t="s">
        <v>46</v>
      </c>
      <c r="D21" s="3">
        <v>9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30">
        <v>42131</v>
      </c>
      <c r="C22" s="1" t="s">
        <v>46</v>
      </c>
      <c r="D22" s="3"/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22">
        <v>42132</v>
      </c>
      <c r="C23" s="1" t="s">
        <v>46</v>
      </c>
      <c r="D23" s="3"/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30">
        <v>42133</v>
      </c>
      <c r="C24" s="1" t="s">
        <v>46</v>
      </c>
      <c r="D24" s="3">
        <v>9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22">
        <v>42134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30">
        <v>42135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22">
        <v>42136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30">
        <v>42137</v>
      </c>
      <c r="C28" s="1" t="s">
        <v>46</v>
      </c>
      <c r="D28" s="3">
        <v>9</v>
      </c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22">
        <v>42138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30">
        <v>42139</v>
      </c>
      <c r="C30" s="1" t="s">
        <v>46</v>
      </c>
      <c r="D30" s="3"/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22">
        <v>42140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30">
        <v>42141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22">
        <v>42142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30">
        <v>42143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22">
        <v>42144</v>
      </c>
      <c r="C35" s="1" t="s">
        <v>46</v>
      </c>
      <c r="D35" s="3">
        <v>9</v>
      </c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30">
        <v>42145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22">
        <v>42146</v>
      </c>
      <c r="C37" s="1" t="s">
        <v>46</v>
      </c>
      <c r="D37" s="3"/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30">
        <v>42147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22">
        <v>42148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30">
        <v>42149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22">
        <v>42150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30">
        <v>42151</v>
      </c>
      <c r="C42" s="1" t="s">
        <v>46</v>
      </c>
      <c r="D42" s="3">
        <v>9</v>
      </c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22">
        <v>42152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>
      <c r="A44" s="167"/>
      <c r="B44" s="30">
        <v>42153</v>
      </c>
      <c r="C44" s="1" t="s">
        <v>46</v>
      </c>
      <c r="D44" s="3"/>
      <c r="E44" s="3"/>
      <c r="F44" s="3"/>
      <c r="G44" s="3"/>
      <c r="H44" s="3"/>
      <c r="I44" s="3"/>
      <c r="J44" s="29"/>
      <c r="K44" s="1"/>
      <c r="L44" s="1"/>
      <c r="M44" s="54"/>
    </row>
    <row r="45" spans="1:18" ht="15.75" thickBot="1">
      <c r="A45" s="167"/>
      <c r="B45" s="22">
        <v>42154</v>
      </c>
      <c r="C45" s="1" t="s">
        <v>46</v>
      </c>
      <c r="D45" s="19">
        <v>9</v>
      </c>
      <c r="E45" s="3"/>
      <c r="F45" s="3"/>
      <c r="G45" s="3"/>
      <c r="H45" s="3"/>
      <c r="I45" s="3"/>
      <c r="J45" s="1"/>
      <c r="K45" s="1"/>
      <c r="L45" s="1"/>
      <c r="M45" s="54"/>
    </row>
    <row r="46" spans="1:18" ht="15.75" thickBot="1">
      <c r="A46" s="61"/>
      <c r="B46" s="62" t="s">
        <v>92</v>
      </c>
      <c r="C46" s="63"/>
      <c r="D46" s="64">
        <f>SUM(D16:D45)</f>
        <v>200</v>
      </c>
      <c r="E46"/>
      <c r="F46"/>
      <c r="G46"/>
      <c r="H46"/>
      <c r="I46"/>
    </row>
    <row r="47" spans="1:18" ht="15.75" thickBot="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>
      <c r="B48"/>
      <c r="D48"/>
      <c r="E48"/>
      <c r="F48"/>
      <c r="G48"/>
      <c r="H48"/>
      <c r="I48"/>
    </row>
    <row r="49" spans="1:13">
      <c r="B49"/>
      <c r="D49"/>
      <c r="E49"/>
      <c r="F49"/>
      <c r="G49"/>
      <c r="H49"/>
      <c r="I49"/>
    </row>
    <row r="50" spans="1:13" ht="15.75" thickBot="1">
      <c r="B50"/>
      <c r="D50"/>
      <c r="E50"/>
      <c r="F50"/>
      <c r="G50"/>
      <c r="H50"/>
      <c r="I50"/>
    </row>
    <row r="51" spans="1:13" ht="15.75" thickBot="1">
      <c r="E51" s="161" t="s">
        <v>110</v>
      </c>
      <c r="F51" s="162"/>
      <c r="G51" s="162"/>
      <c r="H51" s="163"/>
      <c r="I51" s="164" t="s">
        <v>116</v>
      </c>
      <c r="J51" s="165"/>
      <c r="K51" s="165"/>
      <c r="L51" s="166"/>
    </row>
    <row r="52" spans="1:13" ht="15.75" thickBot="1">
      <c r="A52" s="55" t="s">
        <v>91</v>
      </c>
      <c r="B52" s="33" t="s">
        <v>109</v>
      </c>
      <c r="C52" s="34" t="s">
        <v>11</v>
      </c>
      <c r="D52" s="34" t="s">
        <v>10</v>
      </c>
      <c r="E52" s="35" t="s">
        <v>111</v>
      </c>
      <c r="F52" s="36" t="s">
        <v>112</v>
      </c>
      <c r="G52" s="37" t="s">
        <v>113</v>
      </c>
      <c r="H52" s="38" t="s">
        <v>114</v>
      </c>
      <c r="I52" s="35" t="s">
        <v>111</v>
      </c>
      <c r="J52" s="36" t="s">
        <v>112</v>
      </c>
      <c r="K52" s="37" t="s">
        <v>113</v>
      </c>
      <c r="L52" s="38" t="s">
        <v>114</v>
      </c>
      <c r="M52" s="34" t="s">
        <v>115</v>
      </c>
    </row>
    <row r="53" spans="1:13">
      <c r="A53" s="168" t="s">
        <v>81</v>
      </c>
      <c r="B53" s="30">
        <v>42095</v>
      </c>
      <c r="C53" s="18" t="s">
        <v>46</v>
      </c>
      <c r="D53" s="31"/>
      <c r="E53" s="31"/>
      <c r="F53" s="31"/>
      <c r="G53" s="31"/>
      <c r="H53" s="31"/>
      <c r="I53" s="31"/>
      <c r="J53" s="32"/>
      <c r="K53" s="18"/>
      <c r="L53" s="18"/>
      <c r="M53" s="54"/>
    </row>
    <row r="54" spans="1:13">
      <c r="A54" s="169"/>
      <c r="B54" s="22">
        <v>42096</v>
      </c>
      <c r="C54" s="1" t="s">
        <v>46</v>
      </c>
      <c r="D54" s="3">
        <v>9</v>
      </c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22">
        <v>42097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42098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42099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42100</v>
      </c>
      <c r="C58" s="1" t="s">
        <v>46</v>
      </c>
      <c r="D58" s="3">
        <v>9</v>
      </c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42101</v>
      </c>
      <c r="C59" s="1" t="s">
        <v>46</v>
      </c>
      <c r="D59" s="3"/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42102</v>
      </c>
      <c r="C60" s="1" t="s">
        <v>46</v>
      </c>
      <c r="D60" s="3"/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42103</v>
      </c>
      <c r="C61" s="1" t="s">
        <v>46</v>
      </c>
      <c r="D61" s="3">
        <v>9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42104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42105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42106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42107</v>
      </c>
      <c r="C65" s="1" t="s">
        <v>46</v>
      </c>
      <c r="D65" s="3">
        <v>9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42108</v>
      </c>
      <c r="C66" s="1" t="s">
        <v>46</v>
      </c>
      <c r="D66" s="3"/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42109</v>
      </c>
      <c r="C67" s="1" t="s">
        <v>46</v>
      </c>
      <c r="D67" s="3"/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42110</v>
      </c>
      <c r="C68" s="1" t="s">
        <v>46</v>
      </c>
      <c r="D68" s="3">
        <v>9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42111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42112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42113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42114</v>
      </c>
      <c r="C72" s="1" t="s">
        <v>46</v>
      </c>
      <c r="D72" s="3">
        <v>9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42115</v>
      </c>
      <c r="C73" s="1" t="s">
        <v>46</v>
      </c>
      <c r="D73" s="3"/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42116</v>
      </c>
      <c r="C74" s="1" t="s">
        <v>46</v>
      </c>
      <c r="D74" s="3"/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42117</v>
      </c>
      <c r="C75" s="1" t="s">
        <v>46</v>
      </c>
      <c r="D75" s="3">
        <v>9</v>
      </c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42118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42119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42120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42121</v>
      </c>
      <c r="C79" s="1" t="s">
        <v>46</v>
      </c>
      <c r="D79" s="3">
        <v>9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42122</v>
      </c>
      <c r="C80" s="1" t="s">
        <v>46</v>
      </c>
      <c r="D80" s="3"/>
      <c r="E80" s="3"/>
      <c r="F80" s="3"/>
      <c r="G80" s="3"/>
      <c r="H80" s="3"/>
      <c r="I80" s="3"/>
      <c r="J80" s="29"/>
      <c r="K80" s="1"/>
      <c r="L80" s="1"/>
      <c r="M80" s="54"/>
    </row>
    <row r="81" spans="1:18">
      <c r="A81" s="169"/>
      <c r="B81" s="22">
        <v>42123</v>
      </c>
      <c r="C81" s="1" t="s">
        <v>46</v>
      </c>
      <c r="D81" s="3"/>
      <c r="E81" s="3"/>
      <c r="F81" s="3"/>
      <c r="G81" s="3"/>
      <c r="H81" s="3"/>
      <c r="I81" s="3"/>
      <c r="J81" s="29"/>
      <c r="K81" s="1"/>
      <c r="L81" s="1"/>
      <c r="M81" s="54"/>
    </row>
    <row r="82" spans="1:18" ht="15.75" thickBot="1">
      <c r="A82" s="169"/>
      <c r="B82" s="23">
        <v>42124</v>
      </c>
      <c r="C82" s="1" t="s">
        <v>46</v>
      </c>
      <c r="D82" s="19">
        <v>9</v>
      </c>
      <c r="E82" s="3"/>
      <c r="F82" s="3"/>
      <c r="G82" s="3"/>
      <c r="H82" s="3"/>
      <c r="I82" s="3"/>
      <c r="J82" s="1"/>
      <c r="K82" s="1"/>
      <c r="L82" s="1"/>
      <c r="M82" s="54"/>
    </row>
    <row r="83" spans="1:18" ht="15.75" thickBot="1">
      <c r="A83" s="170"/>
      <c r="B83" s="24" t="s">
        <v>92</v>
      </c>
      <c r="C83" s="20"/>
      <c r="D83" s="21">
        <f>SUM(D53:D82)</f>
        <v>189</v>
      </c>
      <c r="E83"/>
      <c r="F83"/>
      <c r="G83"/>
      <c r="H83"/>
      <c r="I83"/>
    </row>
    <row r="84" spans="1:18" ht="15.75" thickBot="1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1"/>
    </row>
    <row r="85" spans="1:18">
      <c r="B85"/>
      <c r="D85"/>
      <c r="E85"/>
      <c r="F85"/>
      <c r="G85"/>
      <c r="H85"/>
      <c r="I85"/>
    </row>
    <row r="86" spans="1:18">
      <c r="B86"/>
      <c r="D86"/>
      <c r="E86"/>
      <c r="F86"/>
      <c r="G86"/>
      <c r="H86"/>
      <c r="I86"/>
    </row>
    <row r="87" spans="1:18">
      <c r="B87"/>
      <c r="D87"/>
      <c r="E87"/>
      <c r="F87"/>
      <c r="G87"/>
      <c r="H87"/>
      <c r="I87"/>
    </row>
  </sheetData>
  <mergeCells count="9">
    <mergeCell ref="C1:D1"/>
    <mergeCell ref="E14:H14"/>
    <mergeCell ref="I14:L14"/>
    <mergeCell ref="A47:R47"/>
    <mergeCell ref="E51:H51"/>
    <mergeCell ref="I51:L51"/>
    <mergeCell ref="A53:A83"/>
    <mergeCell ref="A84:R84"/>
    <mergeCell ref="A16:A45"/>
  </mergeCells>
  <conditionalFormatting sqref="C16:C45 C53:C82">
    <cfRule type="cellIs" dxfId="27" priority="1" operator="equal">
      <formula>"Leave"</formula>
    </cfRule>
    <cfRule type="cellIs" dxfId="26" priority="2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6:C45 C53:C82">
      <formula1>Tasks</formula1>
    </dataValidation>
  </dataValidations>
  <hyperlinks>
    <hyperlink ref="A3" location="POLS!A21" display="Hari Shaw"/>
    <hyperlink ref="A4" location="POLS!A58" display="Sanith Shetty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FFC000"/>
  </sheetPr>
  <dimension ref="A1:AT125"/>
  <sheetViews>
    <sheetView zoomScale="90" zoomScaleNormal="90" workbookViewId="0">
      <selection activeCell="B13" sqref="B13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73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74</v>
      </c>
      <c r="C4" s="46" t="s">
        <v>38</v>
      </c>
      <c r="D4" s="46">
        <f>1/4</f>
        <v>0.25</v>
      </c>
      <c r="F4"/>
      <c r="G4"/>
      <c r="H4"/>
      <c r="I4"/>
    </row>
    <row r="5" spans="1:46">
      <c r="A5" s="57" t="s">
        <v>75</v>
      </c>
      <c r="C5" s="46" t="s">
        <v>39</v>
      </c>
      <c r="D5" s="53">
        <f>20/60</f>
        <v>0.33333333333333331</v>
      </c>
      <c r="F5"/>
      <c r="G5"/>
      <c r="H5"/>
      <c r="I5"/>
    </row>
    <row r="6" spans="1:46">
      <c r="C6" s="46" t="s">
        <v>40</v>
      </c>
      <c r="D6" s="53">
        <f>25/60</f>
        <v>0.41666666666666669</v>
      </c>
      <c r="F6"/>
      <c r="G6"/>
      <c r="H6"/>
      <c r="I6"/>
    </row>
    <row r="7" spans="1:46">
      <c r="C7" s="46" t="s">
        <v>41</v>
      </c>
      <c r="D7" s="46">
        <f>30/60</f>
        <v>0.5</v>
      </c>
      <c r="F7"/>
      <c r="G7"/>
      <c r="H7"/>
      <c r="I7"/>
    </row>
    <row r="8" spans="1:46">
      <c r="C8" s="53" t="s">
        <v>42</v>
      </c>
      <c r="D8" s="53">
        <f>40/60</f>
        <v>0.66666666666666663</v>
      </c>
      <c r="F8"/>
      <c r="G8"/>
      <c r="H8"/>
      <c r="I8"/>
    </row>
    <row r="9" spans="1:46"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>
      <c r="C11" s="12"/>
      <c r="D11" s="12"/>
      <c r="F11"/>
      <c r="G11"/>
      <c r="H11"/>
      <c r="I11"/>
    </row>
    <row r="12" spans="1:46">
      <c r="C12" s="12"/>
      <c r="D12" s="12"/>
      <c r="F12"/>
      <c r="G12"/>
      <c r="H12"/>
      <c r="I12"/>
    </row>
    <row r="13" spans="1:46" s="65" customFormat="1" ht="15.75" thickBo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34.5" customHeight="1" thickBot="1">
      <c r="E14" s="161" t="s">
        <v>110</v>
      </c>
      <c r="F14" s="162"/>
      <c r="G14" s="162"/>
      <c r="H14" s="163"/>
      <c r="I14" s="164" t="s">
        <v>116</v>
      </c>
      <c r="J14" s="165"/>
      <c r="K14" s="165"/>
      <c r="L14" s="166"/>
    </row>
    <row r="15" spans="1:46" ht="15.75" thickBot="1">
      <c r="A15" s="33" t="s">
        <v>91</v>
      </c>
      <c r="B15" s="33" t="s">
        <v>109</v>
      </c>
      <c r="C15" s="34" t="s">
        <v>11</v>
      </c>
      <c r="D15" s="34" t="s">
        <v>10</v>
      </c>
      <c r="E15" s="35" t="s">
        <v>111</v>
      </c>
      <c r="F15" s="36" t="s">
        <v>112</v>
      </c>
      <c r="G15" s="37" t="s">
        <v>113</v>
      </c>
      <c r="H15" s="38" t="s">
        <v>114</v>
      </c>
      <c r="I15" s="35" t="s">
        <v>111</v>
      </c>
      <c r="J15" s="36" t="s">
        <v>112</v>
      </c>
      <c r="K15" s="37" t="s">
        <v>113</v>
      </c>
      <c r="L15" s="38" t="s">
        <v>114</v>
      </c>
      <c r="M15" s="34" t="s">
        <v>115</v>
      </c>
    </row>
    <row r="16" spans="1:46">
      <c r="A16" s="167" t="s">
        <v>73</v>
      </c>
      <c r="B16" s="30">
        <v>42125</v>
      </c>
      <c r="C16" s="18" t="s">
        <v>46</v>
      </c>
      <c r="D16" s="31"/>
      <c r="E16" s="31"/>
      <c r="F16" s="31"/>
      <c r="G16" s="31"/>
      <c r="H16" s="31"/>
      <c r="I16" s="31"/>
      <c r="J16" s="32"/>
      <c r="K16" s="18"/>
      <c r="L16" s="18"/>
      <c r="M16" s="54"/>
    </row>
    <row r="17" spans="1:13">
      <c r="A17" s="167"/>
      <c r="B17" s="22">
        <v>42126</v>
      </c>
      <c r="C17" s="1" t="s">
        <v>46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30">
        <v>42127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22">
        <v>42128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30">
        <v>42129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22">
        <v>42130</v>
      </c>
      <c r="C21" s="1" t="s">
        <v>46</v>
      </c>
      <c r="D21" s="3">
        <v>9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30">
        <v>42131</v>
      </c>
      <c r="C22" s="1" t="s">
        <v>46</v>
      </c>
      <c r="D22" s="3"/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22">
        <v>42132</v>
      </c>
      <c r="C23" s="1" t="s">
        <v>46</v>
      </c>
      <c r="D23" s="3"/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30">
        <v>42133</v>
      </c>
      <c r="C24" s="1" t="s">
        <v>46</v>
      </c>
      <c r="D24" s="3">
        <v>9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22">
        <v>42134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30">
        <v>42135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22">
        <v>42136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30">
        <v>42137</v>
      </c>
      <c r="C28" s="1" t="s">
        <v>46</v>
      </c>
      <c r="D28" s="3">
        <v>9</v>
      </c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22">
        <v>42138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30">
        <v>42139</v>
      </c>
      <c r="C30" s="1" t="s">
        <v>46</v>
      </c>
      <c r="D30" s="3"/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22">
        <v>42140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30">
        <v>42141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22">
        <v>42142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30">
        <v>42143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22">
        <v>42144</v>
      </c>
      <c r="C35" s="1" t="s">
        <v>46</v>
      </c>
      <c r="D35" s="3">
        <v>9</v>
      </c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30">
        <v>42145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22">
        <v>42146</v>
      </c>
      <c r="C37" s="1" t="s">
        <v>46</v>
      </c>
      <c r="D37" s="3"/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30">
        <v>42147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22">
        <v>42148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30">
        <v>42149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22">
        <v>42150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30">
        <v>42151</v>
      </c>
      <c r="C42" s="1" t="s">
        <v>46</v>
      </c>
      <c r="D42" s="3">
        <v>9</v>
      </c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22">
        <v>42152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>
      <c r="A44" s="167"/>
      <c r="B44" s="30">
        <v>42153</v>
      </c>
      <c r="C44" s="1" t="s">
        <v>46</v>
      </c>
      <c r="D44" s="3"/>
      <c r="E44" s="3"/>
      <c r="F44" s="3"/>
      <c r="G44" s="3"/>
      <c r="H44" s="3"/>
      <c r="I44" s="3"/>
      <c r="J44" s="29"/>
      <c r="K44" s="1"/>
      <c r="L44" s="1"/>
      <c r="M44" s="54"/>
    </row>
    <row r="45" spans="1:18" ht="15.75" thickBot="1">
      <c r="A45" s="167"/>
      <c r="B45" s="22">
        <v>42154</v>
      </c>
      <c r="C45" s="1" t="s">
        <v>46</v>
      </c>
      <c r="D45" s="19">
        <v>9</v>
      </c>
      <c r="E45" s="3"/>
      <c r="F45" s="3"/>
      <c r="G45" s="3"/>
      <c r="H45" s="3"/>
      <c r="I45" s="3"/>
      <c r="J45" s="1"/>
      <c r="K45" s="1"/>
      <c r="L45" s="1"/>
      <c r="M45" s="54"/>
    </row>
    <row r="46" spans="1:18" ht="15.75" thickBot="1">
      <c r="A46" s="61"/>
      <c r="B46" s="62" t="s">
        <v>92</v>
      </c>
      <c r="C46" s="63"/>
      <c r="D46" s="64">
        <f>SUM(D16:D45)</f>
        <v>189</v>
      </c>
      <c r="E46"/>
      <c r="F46"/>
      <c r="G46"/>
      <c r="H46"/>
      <c r="I46"/>
    </row>
    <row r="47" spans="1:18" ht="15.75" thickBot="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>
      <c r="B48"/>
      <c r="D48"/>
      <c r="E48"/>
      <c r="F48"/>
      <c r="G48"/>
      <c r="H48"/>
      <c r="I48"/>
    </row>
    <row r="49" spans="1:13">
      <c r="B49"/>
      <c r="D49"/>
      <c r="E49"/>
      <c r="F49"/>
      <c r="G49"/>
      <c r="H49"/>
      <c r="I49"/>
    </row>
    <row r="50" spans="1:13" ht="15.75" thickBot="1">
      <c r="B50"/>
      <c r="D50"/>
      <c r="E50"/>
      <c r="F50"/>
      <c r="G50"/>
      <c r="H50"/>
      <c r="I50"/>
    </row>
    <row r="51" spans="1:13" ht="15.75" thickBot="1">
      <c r="E51" s="161" t="s">
        <v>110</v>
      </c>
      <c r="F51" s="162"/>
      <c r="G51" s="162"/>
      <c r="H51" s="163"/>
      <c r="I51" s="164" t="s">
        <v>116</v>
      </c>
      <c r="J51" s="165"/>
      <c r="K51" s="165"/>
      <c r="L51" s="166"/>
    </row>
    <row r="52" spans="1:13" ht="15.75" thickBot="1">
      <c r="A52" s="55" t="s">
        <v>91</v>
      </c>
      <c r="B52" s="33" t="s">
        <v>109</v>
      </c>
      <c r="C52" s="34" t="s">
        <v>11</v>
      </c>
      <c r="D52" s="34" t="s">
        <v>10</v>
      </c>
      <c r="E52" s="35" t="s">
        <v>111</v>
      </c>
      <c r="F52" s="36" t="s">
        <v>112</v>
      </c>
      <c r="G52" s="37" t="s">
        <v>113</v>
      </c>
      <c r="H52" s="38" t="s">
        <v>114</v>
      </c>
      <c r="I52" s="35" t="s">
        <v>111</v>
      </c>
      <c r="J52" s="36" t="s">
        <v>112</v>
      </c>
      <c r="K52" s="37" t="s">
        <v>113</v>
      </c>
      <c r="L52" s="38" t="s">
        <v>114</v>
      </c>
      <c r="M52" s="34" t="s">
        <v>115</v>
      </c>
    </row>
    <row r="53" spans="1:13">
      <c r="A53" s="168" t="s">
        <v>74</v>
      </c>
      <c r="B53" s="30">
        <v>42095</v>
      </c>
      <c r="C53" s="18" t="s">
        <v>46</v>
      </c>
      <c r="D53" s="31"/>
      <c r="E53" s="31"/>
      <c r="F53" s="31"/>
      <c r="G53" s="31"/>
      <c r="H53" s="31"/>
      <c r="I53" s="31"/>
      <c r="J53" s="32"/>
      <c r="K53" s="18"/>
      <c r="L53" s="18"/>
      <c r="M53" s="54"/>
    </row>
    <row r="54" spans="1:13">
      <c r="A54" s="169"/>
      <c r="B54" s="22">
        <v>42096</v>
      </c>
      <c r="C54" s="1" t="s">
        <v>46</v>
      </c>
      <c r="D54" s="3">
        <v>9</v>
      </c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22">
        <v>42097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42098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42099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42100</v>
      </c>
      <c r="C58" s="1" t="s">
        <v>46</v>
      </c>
      <c r="D58" s="3">
        <v>9</v>
      </c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42101</v>
      </c>
      <c r="C59" s="1" t="s">
        <v>46</v>
      </c>
      <c r="D59" s="3"/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42102</v>
      </c>
      <c r="C60" s="1" t="s">
        <v>46</v>
      </c>
      <c r="D60" s="3"/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42103</v>
      </c>
      <c r="C61" s="1" t="s">
        <v>46</v>
      </c>
      <c r="D61" s="3">
        <v>9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42104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42105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42106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42107</v>
      </c>
      <c r="C65" s="1" t="s">
        <v>46</v>
      </c>
      <c r="D65" s="3">
        <v>9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42108</v>
      </c>
      <c r="C66" s="1" t="s">
        <v>46</v>
      </c>
      <c r="D66" s="3"/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42109</v>
      </c>
      <c r="C67" s="1" t="s">
        <v>46</v>
      </c>
      <c r="D67" s="3"/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42110</v>
      </c>
      <c r="C68" s="1" t="s">
        <v>46</v>
      </c>
      <c r="D68" s="3">
        <v>9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42111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42112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42113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42114</v>
      </c>
      <c r="C72" s="1" t="s">
        <v>46</v>
      </c>
      <c r="D72" s="3">
        <v>9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42115</v>
      </c>
      <c r="C73" s="1" t="s">
        <v>46</v>
      </c>
      <c r="D73" s="3"/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42116</v>
      </c>
      <c r="C74" s="1" t="s">
        <v>46</v>
      </c>
      <c r="D74" s="3"/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42117</v>
      </c>
      <c r="C75" s="1" t="s">
        <v>46</v>
      </c>
      <c r="D75" s="3">
        <v>9</v>
      </c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42118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42119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42120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42121</v>
      </c>
      <c r="C79" s="1" t="s">
        <v>46</v>
      </c>
      <c r="D79" s="3">
        <v>9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42122</v>
      </c>
      <c r="C80" s="1" t="s">
        <v>46</v>
      </c>
      <c r="D80" s="3"/>
      <c r="E80" s="3"/>
      <c r="F80" s="3"/>
      <c r="G80" s="3"/>
      <c r="H80" s="3"/>
      <c r="I80" s="3"/>
      <c r="J80" s="29"/>
      <c r="K80" s="1"/>
      <c r="L80" s="1"/>
      <c r="M80" s="54"/>
    </row>
    <row r="81" spans="1:18">
      <c r="A81" s="169"/>
      <c r="B81" s="22">
        <v>42123</v>
      </c>
      <c r="C81" s="1" t="s">
        <v>46</v>
      </c>
      <c r="D81" s="3"/>
      <c r="E81" s="3"/>
      <c r="F81" s="3"/>
      <c r="G81" s="3"/>
      <c r="H81" s="3"/>
      <c r="I81" s="3"/>
      <c r="J81" s="29"/>
      <c r="K81" s="1"/>
      <c r="L81" s="1"/>
      <c r="M81" s="54"/>
    </row>
    <row r="82" spans="1:18" ht="15.75" thickBot="1">
      <c r="A82" s="169"/>
      <c r="B82" s="23">
        <v>42124</v>
      </c>
      <c r="C82" s="1" t="s">
        <v>46</v>
      </c>
      <c r="D82" s="19">
        <v>9</v>
      </c>
      <c r="E82" s="3"/>
      <c r="F82" s="3"/>
      <c r="G82" s="3"/>
      <c r="H82" s="3"/>
      <c r="I82" s="3"/>
      <c r="J82" s="1"/>
      <c r="K82" s="1"/>
      <c r="L82" s="1"/>
      <c r="M82" s="54"/>
    </row>
    <row r="83" spans="1:18" ht="15.75" thickBot="1">
      <c r="A83" s="170"/>
      <c r="B83" s="24" t="s">
        <v>92</v>
      </c>
      <c r="C83" s="20"/>
      <c r="D83" s="21">
        <f>SUM(D53:D82)</f>
        <v>189</v>
      </c>
      <c r="E83"/>
      <c r="F83"/>
      <c r="G83"/>
      <c r="H83"/>
      <c r="I83"/>
    </row>
    <row r="84" spans="1:18" ht="15.75" thickBot="1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1"/>
    </row>
    <row r="85" spans="1:18">
      <c r="B85"/>
      <c r="D85"/>
      <c r="E85"/>
      <c r="F85"/>
      <c r="G85"/>
      <c r="H85"/>
      <c r="I85"/>
    </row>
    <row r="86" spans="1:18">
      <c r="B86"/>
      <c r="D86"/>
      <c r="E86"/>
      <c r="F86"/>
      <c r="G86"/>
      <c r="H86"/>
      <c r="I86"/>
    </row>
    <row r="87" spans="1:18" ht="15.75" thickBot="1">
      <c r="B87"/>
      <c r="D87"/>
      <c r="E87"/>
      <c r="F87"/>
      <c r="G87"/>
      <c r="H87"/>
      <c r="I87"/>
    </row>
    <row r="88" spans="1:18" ht="15.75" thickBot="1">
      <c r="E88" s="161" t="s">
        <v>110</v>
      </c>
      <c r="F88" s="162"/>
      <c r="G88" s="162"/>
      <c r="H88" s="163"/>
      <c r="I88" s="164" t="s">
        <v>116</v>
      </c>
      <c r="J88" s="165"/>
      <c r="K88" s="165"/>
      <c r="L88" s="166"/>
    </row>
    <row r="89" spans="1:18" ht="15.75" thickBot="1">
      <c r="A89" s="55" t="s">
        <v>91</v>
      </c>
      <c r="B89" s="33" t="s">
        <v>109</v>
      </c>
      <c r="C89" s="34" t="s">
        <v>11</v>
      </c>
      <c r="D89" s="34" t="s">
        <v>10</v>
      </c>
      <c r="E89" s="35" t="s">
        <v>111</v>
      </c>
      <c r="F89" s="36" t="s">
        <v>112</v>
      </c>
      <c r="G89" s="37" t="s">
        <v>113</v>
      </c>
      <c r="H89" s="38" t="s">
        <v>114</v>
      </c>
      <c r="I89" s="35" t="s">
        <v>111</v>
      </c>
      <c r="J89" s="36" t="s">
        <v>112</v>
      </c>
      <c r="K89" s="37" t="s">
        <v>113</v>
      </c>
      <c r="L89" s="38" t="s">
        <v>114</v>
      </c>
      <c r="M89" s="34" t="s">
        <v>115</v>
      </c>
    </row>
    <row r="90" spans="1:18">
      <c r="A90" s="171" t="s">
        <v>75</v>
      </c>
      <c r="B90" s="30">
        <v>42095</v>
      </c>
      <c r="C90" s="18" t="s">
        <v>46</v>
      </c>
      <c r="D90" s="31"/>
      <c r="E90" s="31"/>
      <c r="F90" s="31"/>
      <c r="G90" s="31"/>
      <c r="H90" s="31"/>
      <c r="I90" s="31"/>
      <c r="J90" s="32"/>
      <c r="K90" s="18"/>
      <c r="L90" s="18"/>
      <c r="M90" s="54"/>
    </row>
    <row r="91" spans="1:18">
      <c r="A91" s="171"/>
      <c r="B91" s="22">
        <v>42096</v>
      </c>
      <c r="C91" s="1" t="s">
        <v>46</v>
      </c>
      <c r="D91" s="3">
        <v>9</v>
      </c>
      <c r="E91" s="3"/>
      <c r="F91" s="3"/>
      <c r="G91" s="3"/>
      <c r="H91" s="3"/>
      <c r="I91" s="3"/>
      <c r="J91" s="29"/>
      <c r="K91" s="1"/>
      <c r="L91" s="1"/>
      <c r="M91" s="54"/>
    </row>
    <row r="92" spans="1:18">
      <c r="A92" s="171"/>
      <c r="B92" s="22">
        <v>42097</v>
      </c>
      <c r="C92" s="1" t="s">
        <v>46</v>
      </c>
      <c r="D92" s="3">
        <v>9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8">
      <c r="A93" s="171"/>
      <c r="B93" s="22">
        <v>42098</v>
      </c>
      <c r="C93" s="1" t="s">
        <v>46</v>
      </c>
      <c r="D93" s="3">
        <v>9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8">
      <c r="A94" s="171"/>
      <c r="B94" s="22">
        <v>42099</v>
      </c>
      <c r="C94" s="1" t="s">
        <v>46</v>
      </c>
      <c r="D94" s="3">
        <v>9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8">
      <c r="A95" s="171"/>
      <c r="B95" s="22">
        <v>42100</v>
      </c>
      <c r="C95" s="1" t="s">
        <v>46</v>
      </c>
      <c r="D95" s="3">
        <v>9</v>
      </c>
      <c r="E95" s="3"/>
      <c r="F95" s="3"/>
      <c r="G95" s="3"/>
      <c r="H95" s="3"/>
      <c r="I95" s="3"/>
      <c r="J95" s="29"/>
      <c r="K95" s="1"/>
      <c r="L95" s="1"/>
      <c r="M95" s="54"/>
    </row>
    <row r="96" spans="1:18">
      <c r="A96" s="171"/>
      <c r="B96" s="22">
        <v>42101</v>
      </c>
      <c r="C96" s="1" t="s">
        <v>46</v>
      </c>
      <c r="D96" s="3"/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71"/>
      <c r="B97" s="22">
        <v>42102</v>
      </c>
      <c r="C97" s="1" t="s">
        <v>46</v>
      </c>
      <c r="D97" s="3"/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71"/>
      <c r="B98" s="22">
        <v>42103</v>
      </c>
      <c r="C98" s="1" t="s">
        <v>46</v>
      </c>
      <c r="D98" s="3">
        <v>9</v>
      </c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71"/>
      <c r="B99" s="22">
        <v>42104</v>
      </c>
      <c r="C99" s="1" t="s">
        <v>46</v>
      </c>
      <c r="D99" s="3">
        <v>9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71"/>
      <c r="B100" s="22">
        <v>42105</v>
      </c>
      <c r="C100" s="1" t="s">
        <v>46</v>
      </c>
      <c r="D100" s="3">
        <v>9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71"/>
      <c r="B101" s="22">
        <v>42106</v>
      </c>
      <c r="C101" s="1" t="s">
        <v>46</v>
      </c>
      <c r="D101" s="3">
        <v>9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71"/>
      <c r="B102" s="22">
        <v>42107</v>
      </c>
      <c r="C102" s="1" t="s">
        <v>46</v>
      </c>
      <c r="D102" s="3">
        <v>9</v>
      </c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71"/>
      <c r="B103" s="22">
        <v>42108</v>
      </c>
      <c r="C103" s="1" t="s">
        <v>46</v>
      </c>
      <c r="D103" s="3"/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71"/>
      <c r="B104" s="22">
        <v>42109</v>
      </c>
      <c r="C104" s="1" t="s">
        <v>46</v>
      </c>
      <c r="D104" s="3"/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71"/>
      <c r="B105" s="22">
        <v>42110</v>
      </c>
      <c r="C105" s="1" t="s">
        <v>46</v>
      </c>
      <c r="D105" s="3">
        <v>9</v>
      </c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71"/>
      <c r="B106" s="22">
        <v>42111</v>
      </c>
      <c r="C106" s="1" t="s">
        <v>46</v>
      </c>
      <c r="D106" s="3">
        <v>9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71"/>
      <c r="B107" s="22">
        <v>42112</v>
      </c>
      <c r="C107" s="1" t="s">
        <v>46</v>
      </c>
      <c r="D107" s="3">
        <v>9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71"/>
      <c r="B108" s="22">
        <v>42113</v>
      </c>
      <c r="C108" s="1" t="s">
        <v>46</v>
      </c>
      <c r="D108" s="3">
        <v>9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71"/>
      <c r="B109" s="22">
        <v>42114</v>
      </c>
      <c r="C109" s="1" t="s">
        <v>46</v>
      </c>
      <c r="D109" s="3">
        <v>9</v>
      </c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71"/>
      <c r="B110" s="22">
        <v>42115</v>
      </c>
      <c r="C110" s="1" t="s">
        <v>46</v>
      </c>
      <c r="D110" s="3"/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71"/>
      <c r="B111" s="22">
        <v>42116</v>
      </c>
      <c r="C111" s="1" t="s">
        <v>46</v>
      </c>
      <c r="D111" s="3"/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71"/>
      <c r="B112" s="22">
        <v>42117</v>
      </c>
      <c r="C112" s="1" t="s">
        <v>46</v>
      </c>
      <c r="D112" s="3">
        <v>9</v>
      </c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71"/>
      <c r="B113" s="22">
        <v>42118</v>
      </c>
      <c r="C113" s="1" t="s">
        <v>46</v>
      </c>
      <c r="D113" s="3">
        <v>9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71"/>
      <c r="B114" s="22">
        <v>42119</v>
      </c>
      <c r="C114" s="1" t="s">
        <v>46</v>
      </c>
      <c r="D114" s="3">
        <v>9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71"/>
      <c r="B115" s="22">
        <v>42120</v>
      </c>
      <c r="C115" s="1" t="s">
        <v>46</v>
      </c>
      <c r="D115" s="3">
        <v>9</v>
      </c>
      <c r="E115" s="3"/>
      <c r="F115" s="3"/>
      <c r="G115" s="3"/>
      <c r="H115" s="3"/>
      <c r="I115" s="3"/>
      <c r="J115" s="29"/>
      <c r="K115" s="1"/>
      <c r="L115" s="1"/>
      <c r="M115" s="54"/>
    </row>
    <row r="116" spans="1:18">
      <c r="A116" s="171"/>
      <c r="B116" s="22">
        <v>42121</v>
      </c>
      <c r="C116" s="1" t="s">
        <v>46</v>
      </c>
      <c r="D116" s="3">
        <v>9</v>
      </c>
      <c r="E116" s="3"/>
      <c r="F116" s="3"/>
      <c r="G116" s="3"/>
      <c r="H116" s="3"/>
      <c r="I116" s="3"/>
      <c r="J116" s="29"/>
      <c r="K116" s="1"/>
      <c r="L116" s="1"/>
      <c r="M116" s="54"/>
    </row>
    <row r="117" spans="1:18">
      <c r="A117" s="171"/>
      <c r="B117" s="22">
        <v>42122</v>
      </c>
      <c r="C117" s="1" t="s">
        <v>46</v>
      </c>
      <c r="D117" s="3"/>
      <c r="E117" s="3"/>
      <c r="F117" s="3"/>
      <c r="G117" s="3"/>
      <c r="H117" s="3"/>
      <c r="I117" s="3"/>
      <c r="J117" s="29"/>
      <c r="K117" s="1"/>
      <c r="L117" s="1"/>
      <c r="M117" s="54"/>
    </row>
    <row r="118" spans="1:18">
      <c r="A118" s="171"/>
      <c r="B118" s="22">
        <v>42123</v>
      </c>
      <c r="C118" s="1" t="s">
        <v>46</v>
      </c>
      <c r="D118" s="3"/>
      <c r="E118" s="3"/>
      <c r="F118" s="3"/>
      <c r="G118" s="3"/>
      <c r="H118" s="3"/>
      <c r="I118" s="3"/>
      <c r="J118" s="29"/>
      <c r="K118" s="1"/>
      <c r="L118" s="1"/>
      <c r="M118" s="54"/>
    </row>
    <row r="119" spans="1:18" ht="15.75" thickBot="1">
      <c r="A119" s="171"/>
      <c r="B119" s="23">
        <v>42124</v>
      </c>
      <c r="C119" s="1" t="s">
        <v>46</v>
      </c>
      <c r="D119" s="19">
        <v>9</v>
      </c>
      <c r="E119" s="3"/>
      <c r="F119" s="3"/>
      <c r="G119" s="3"/>
      <c r="H119" s="3"/>
      <c r="I119" s="3"/>
      <c r="J119" s="1"/>
      <c r="K119" s="1"/>
      <c r="L119" s="1"/>
      <c r="M119" s="54"/>
    </row>
    <row r="120" spans="1:18" ht="15.75" thickBot="1">
      <c r="A120" s="171"/>
      <c r="B120" s="24" t="s">
        <v>92</v>
      </c>
      <c r="C120" s="20"/>
      <c r="D120" s="21">
        <f>SUM(D90:D119)</f>
        <v>189</v>
      </c>
      <c r="E120"/>
      <c r="F120"/>
      <c r="G120"/>
      <c r="H120"/>
      <c r="I120"/>
    </row>
    <row r="121" spans="1:18" ht="15.75" thickBot="1">
      <c r="A121" s="149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1"/>
    </row>
    <row r="122" spans="1:18">
      <c r="B122"/>
      <c r="D122"/>
      <c r="E122"/>
      <c r="F122"/>
      <c r="G122"/>
      <c r="H122"/>
      <c r="I122"/>
    </row>
    <row r="123" spans="1:18">
      <c r="B123"/>
      <c r="D123"/>
      <c r="E123"/>
      <c r="F123"/>
      <c r="G123"/>
      <c r="H123"/>
      <c r="I123"/>
    </row>
    <row r="124" spans="1:18">
      <c r="B124"/>
      <c r="D124"/>
      <c r="E124"/>
      <c r="F124"/>
      <c r="G124"/>
      <c r="H124"/>
      <c r="I124"/>
    </row>
    <row r="125" spans="1:18">
      <c r="B125"/>
      <c r="D125"/>
      <c r="E125"/>
      <c r="F125"/>
      <c r="G125"/>
      <c r="H125"/>
      <c r="I125"/>
    </row>
  </sheetData>
  <mergeCells count="13">
    <mergeCell ref="A16:A45"/>
    <mergeCell ref="C1:D1"/>
    <mergeCell ref="E14:H14"/>
    <mergeCell ref="I14:L14"/>
    <mergeCell ref="E88:H88"/>
    <mergeCell ref="I88:L88"/>
    <mergeCell ref="A90:A120"/>
    <mergeCell ref="A121:R121"/>
    <mergeCell ref="A47:R47"/>
    <mergeCell ref="E51:H51"/>
    <mergeCell ref="I51:L51"/>
    <mergeCell ref="A53:A83"/>
    <mergeCell ref="A84:R84"/>
  </mergeCells>
  <conditionalFormatting sqref="C16:C45 C53:C82 C90:C119">
    <cfRule type="cellIs" dxfId="25" priority="1" operator="equal">
      <formula>"Leave"</formula>
    </cfRule>
    <cfRule type="cellIs" dxfId="24" priority="2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6:C45 C53:C82 C90:C119">
      <formula1>Tasks</formula1>
    </dataValidation>
  </dataValidations>
  <hyperlinks>
    <hyperlink ref="A3" location="Performance!A21" display="Rohit Saini"/>
    <hyperlink ref="A4" location="Performance!A58" display="Ashwini Singh"/>
    <hyperlink ref="A5" location="Performance!A95" display="Sudesh Sherigar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0070C0"/>
  </sheetPr>
  <dimension ref="A1:AT123"/>
  <sheetViews>
    <sheetView tabSelected="1" topLeftCell="A110" zoomScale="90" zoomScaleNormal="90" workbookViewId="0">
      <selection activeCell="F135" sqref="F135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9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136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72</v>
      </c>
      <c r="C4" s="46" t="s">
        <v>38</v>
      </c>
      <c r="D4" s="46">
        <f>1/4</f>
        <v>0.25</v>
      </c>
      <c r="F4"/>
      <c r="G4"/>
      <c r="H4"/>
      <c r="I4"/>
    </row>
    <row r="5" spans="1:46">
      <c r="C5" s="46" t="s">
        <v>39</v>
      </c>
      <c r="D5" s="53">
        <f>20/60</f>
        <v>0.33333333333333331</v>
      </c>
      <c r="F5"/>
      <c r="G5"/>
      <c r="H5"/>
      <c r="I5"/>
    </row>
    <row r="6" spans="1:46">
      <c r="C6" s="46" t="s">
        <v>40</v>
      </c>
      <c r="D6" s="53">
        <f>25/60</f>
        <v>0.41666666666666669</v>
      </c>
      <c r="F6"/>
      <c r="G6"/>
      <c r="H6"/>
      <c r="I6"/>
    </row>
    <row r="7" spans="1:46">
      <c r="C7" s="46" t="s">
        <v>41</v>
      </c>
      <c r="D7" s="46">
        <f>30/60</f>
        <v>0.5</v>
      </c>
      <c r="F7"/>
      <c r="G7"/>
      <c r="H7"/>
      <c r="I7"/>
    </row>
    <row r="8" spans="1:46">
      <c r="C8" s="53" t="s">
        <v>42</v>
      </c>
      <c r="D8" s="53">
        <f>40/60</f>
        <v>0.66666666666666663</v>
      </c>
      <c r="F8"/>
      <c r="G8"/>
      <c r="H8"/>
      <c r="I8"/>
    </row>
    <row r="9" spans="1:46"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>
      <c r="C11" s="12"/>
      <c r="D11" s="12"/>
      <c r="F11"/>
      <c r="G11"/>
      <c r="H11"/>
      <c r="I11"/>
    </row>
    <row r="12" spans="1:46" s="65" customFormat="1" ht="15.75" thickBo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ht="34.5" customHeight="1" thickBot="1">
      <c r="E13" s="161" t="s">
        <v>110</v>
      </c>
      <c r="F13" s="162"/>
      <c r="G13" s="162"/>
      <c r="H13" s="163"/>
      <c r="I13" s="164" t="s">
        <v>116</v>
      </c>
      <c r="J13" s="165"/>
      <c r="K13" s="165"/>
      <c r="L13" s="166"/>
    </row>
    <row r="14" spans="1:46" ht="15.75" thickBot="1">
      <c r="A14" s="33" t="s">
        <v>91</v>
      </c>
      <c r="B14" s="33" t="s">
        <v>109</v>
      </c>
      <c r="C14" s="34" t="s">
        <v>11</v>
      </c>
      <c r="D14" s="34" t="s">
        <v>10</v>
      </c>
      <c r="E14" s="35" t="s">
        <v>111</v>
      </c>
      <c r="F14" s="36" t="s">
        <v>112</v>
      </c>
      <c r="G14" s="37" t="s">
        <v>113</v>
      </c>
      <c r="H14" s="38" t="s">
        <v>114</v>
      </c>
      <c r="I14" s="35" t="s">
        <v>111</v>
      </c>
      <c r="J14" s="36" t="s">
        <v>112</v>
      </c>
      <c r="K14" s="37" t="s">
        <v>113</v>
      </c>
      <c r="L14" s="38" t="s">
        <v>114</v>
      </c>
      <c r="M14" s="34" t="s">
        <v>115</v>
      </c>
    </row>
    <row r="15" spans="1:46">
      <c r="A15" s="167" t="s">
        <v>136</v>
      </c>
      <c r="B15" s="30">
        <v>42125</v>
      </c>
      <c r="C15" s="18" t="s">
        <v>46</v>
      </c>
      <c r="D15" s="31"/>
      <c r="E15" s="31"/>
      <c r="F15" s="31"/>
      <c r="G15" s="31"/>
      <c r="H15" s="31"/>
      <c r="I15" s="31"/>
      <c r="J15" s="32"/>
      <c r="K15" s="18"/>
      <c r="L15" s="18"/>
      <c r="M15" s="54"/>
    </row>
    <row r="16" spans="1:46">
      <c r="A16" s="167"/>
      <c r="B16" s="22">
        <v>42126</v>
      </c>
      <c r="C16" s="1" t="s">
        <v>46</v>
      </c>
      <c r="D16" s="3">
        <v>9</v>
      </c>
      <c r="E16" s="3"/>
      <c r="F16" s="3"/>
      <c r="G16" s="3"/>
      <c r="H16" s="3"/>
      <c r="I16" s="3"/>
      <c r="J16" s="29"/>
      <c r="K16" s="1"/>
      <c r="L16" s="1"/>
      <c r="M16" s="54"/>
    </row>
    <row r="17" spans="1:13">
      <c r="A17" s="167"/>
      <c r="B17" s="30">
        <v>42127</v>
      </c>
      <c r="C17" s="1" t="s">
        <v>46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22">
        <v>42128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30">
        <v>42129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22">
        <v>42130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30">
        <v>42131</v>
      </c>
      <c r="C21" s="1" t="s">
        <v>46</v>
      </c>
      <c r="D21" s="3"/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22">
        <v>42132</v>
      </c>
      <c r="C22" s="1" t="s">
        <v>46</v>
      </c>
      <c r="D22" s="3"/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30">
        <v>42133</v>
      </c>
      <c r="C23" s="1" t="s">
        <v>46</v>
      </c>
      <c r="D23" s="3">
        <v>9</v>
      </c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22">
        <v>42134</v>
      </c>
      <c r="C24" s="1" t="s">
        <v>46</v>
      </c>
      <c r="D24" s="3">
        <v>9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30">
        <v>42135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22">
        <v>42136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30">
        <v>42137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22">
        <v>42138</v>
      </c>
      <c r="C28" s="1" t="s">
        <v>46</v>
      </c>
      <c r="D28" s="3"/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30">
        <v>42139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22">
        <v>42140</v>
      </c>
      <c r="C30" s="1" t="s">
        <v>46</v>
      </c>
      <c r="D30" s="3">
        <v>9</v>
      </c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30">
        <v>42141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22">
        <v>42142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30">
        <v>42143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22">
        <v>42144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30">
        <v>42145</v>
      </c>
      <c r="C35" s="1" t="s">
        <v>46</v>
      </c>
      <c r="D35" s="3"/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22">
        <v>42146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30">
        <v>42147</v>
      </c>
      <c r="C37" s="1" t="s">
        <v>46</v>
      </c>
      <c r="D37" s="3">
        <v>9</v>
      </c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22">
        <v>42148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30">
        <v>42149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22">
        <v>42150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30">
        <v>42151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22">
        <v>42152</v>
      </c>
      <c r="C42" s="1" t="s">
        <v>46</v>
      </c>
      <c r="D42" s="3"/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30">
        <v>42153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 ht="15.75" thickBot="1">
      <c r="A44" s="167"/>
      <c r="B44" s="22">
        <v>42154</v>
      </c>
      <c r="C44" s="1" t="s">
        <v>46</v>
      </c>
      <c r="D44" s="19">
        <v>9</v>
      </c>
      <c r="E44" s="3"/>
      <c r="F44" s="3"/>
      <c r="G44" s="3"/>
      <c r="H44" s="3"/>
      <c r="I44" s="3"/>
      <c r="J44" s="1"/>
      <c r="K44" s="1"/>
      <c r="L44" s="1"/>
      <c r="M44" s="54"/>
    </row>
    <row r="45" spans="1:18" ht="15.75" thickBot="1">
      <c r="A45" s="61"/>
      <c r="B45" s="62" t="s">
        <v>92</v>
      </c>
      <c r="C45" s="63"/>
      <c r="D45" s="64">
        <f>SUM(D15:D44)</f>
        <v>189</v>
      </c>
      <c r="E45"/>
      <c r="F45"/>
      <c r="G45"/>
      <c r="H45"/>
      <c r="I45"/>
    </row>
    <row r="46" spans="1:18" ht="15.75" thickBot="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1"/>
    </row>
    <row r="47" spans="1:18">
      <c r="B47"/>
      <c r="D47"/>
      <c r="E47"/>
      <c r="F47"/>
      <c r="G47"/>
      <c r="H47"/>
      <c r="I47"/>
    </row>
    <row r="48" spans="1:18">
      <c r="B48"/>
      <c r="D48"/>
      <c r="E48"/>
      <c r="F48"/>
      <c r="G48"/>
      <c r="H48"/>
      <c r="I48"/>
    </row>
    <row r="49" spans="1:13" ht="15.75" thickBot="1">
      <c r="B49"/>
      <c r="D49"/>
      <c r="E49"/>
      <c r="F49"/>
      <c r="G49"/>
      <c r="H49"/>
      <c r="I49"/>
    </row>
    <row r="50" spans="1:13" ht="15.75" thickBot="1">
      <c r="E50" s="161" t="s">
        <v>110</v>
      </c>
      <c r="F50" s="162"/>
      <c r="G50" s="162"/>
      <c r="H50" s="163"/>
      <c r="I50" s="164" t="s">
        <v>116</v>
      </c>
      <c r="J50" s="165"/>
      <c r="K50" s="165"/>
      <c r="L50" s="166"/>
    </row>
    <row r="51" spans="1:13" ht="15.75" thickBot="1">
      <c r="A51" s="55" t="s">
        <v>91</v>
      </c>
      <c r="B51" s="33" t="s">
        <v>109</v>
      </c>
      <c r="C51" s="34" t="s">
        <v>11</v>
      </c>
      <c r="D51" s="34" t="s">
        <v>10</v>
      </c>
      <c r="E51" s="35" t="s">
        <v>111</v>
      </c>
      <c r="F51" s="36" t="s">
        <v>112</v>
      </c>
      <c r="G51" s="37" t="s">
        <v>113</v>
      </c>
      <c r="H51" s="38" t="s">
        <v>114</v>
      </c>
      <c r="I51" s="35" t="s">
        <v>111</v>
      </c>
      <c r="J51" s="36" t="s">
        <v>112</v>
      </c>
      <c r="K51" s="37" t="s">
        <v>113</v>
      </c>
      <c r="L51" s="38" t="s">
        <v>114</v>
      </c>
      <c r="M51" s="34" t="s">
        <v>115</v>
      </c>
    </row>
    <row r="52" spans="1:13">
      <c r="A52" s="169"/>
      <c r="B52" s="30">
        <v>42128</v>
      </c>
      <c r="C52" s="1" t="s">
        <v>0</v>
      </c>
      <c r="D52" s="3"/>
      <c r="E52" s="3"/>
      <c r="F52" s="3"/>
      <c r="G52" s="3"/>
      <c r="H52" s="3"/>
      <c r="I52" s="3"/>
      <c r="J52" s="29"/>
      <c r="K52" s="1"/>
      <c r="L52" s="1"/>
      <c r="M52" s="54"/>
    </row>
    <row r="53" spans="1:13">
      <c r="A53" s="169"/>
      <c r="B53" s="30">
        <v>42129</v>
      </c>
      <c r="C53" s="1" t="s">
        <v>0</v>
      </c>
      <c r="D53" s="3"/>
      <c r="E53" s="3"/>
      <c r="F53" s="3"/>
      <c r="G53" s="3"/>
      <c r="H53" s="3"/>
      <c r="I53" s="3"/>
      <c r="J53" s="29"/>
      <c r="K53" s="1"/>
      <c r="L53" s="1"/>
      <c r="M53" s="54"/>
    </row>
    <row r="54" spans="1:13">
      <c r="A54" s="169"/>
      <c r="B54" s="30">
        <v>42130</v>
      </c>
      <c r="C54" s="1" t="s">
        <v>0</v>
      </c>
      <c r="D54" s="3"/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30">
        <v>42131</v>
      </c>
      <c r="C55" s="1" t="s">
        <v>31</v>
      </c>
      <c r="D55" s="3">
        <v>2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30">
        <v>42131</v>
      </c>
      <c r="C56" s="1" t="s">
        <v>29</v>
      </c>
      <c r="D56" s="3">
        <v>7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30">
        <v>42132</v>
      </c>
      <c r="C57" s="1" t="s">
        <v>0</v>
      </c>
      <c r="D57" s="3"/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30">
        <v>42133</v>
      </c>
      <c r="C58" s="1" t="s">
        <v>46</v>
      </c>
      <c r="D58" s="3"/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30">
        <v>42135</v>
      </c>
      <c r="C59" s="1" t="s">
        <v>31</v>
      </c>
      <c r="D59" s="3">
        <v>2</v>
      </c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30">
        <v>42135</v>
      </c>
      <c r="C60" s="1" t="s">
        <v>29</v>
      </c>
      <c r="D60" s="3">
        <v>5.5</v>
      </c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30">
        <v>42135</v>
      </c>
      <c r="C61" s="1" t="s">
        <v>96</v>
      </c>
      <c r="D61" s="3">
        <v>0.5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30">
        <v>42135</v>
      </c>
      <c r="C62" s="1" t="s">
        <v>8</v>
      </c>
      <c r="D62" s="3">
        <v>1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30">
        <v>42136</v>
      </c>
      <c r="C63" s="1" t="s">
        <v>31</v>
      </c>
      <c r="D63" s="3">
        <v>2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30">
        <v>42136</v>
      </c>
      <c r="C64" s="1" t="s">
        <v>29</v>
      </c>
      <c r="D64" s="3">
        <v>5.5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30">
        <v>42136</v>
      </c>
      <c r="C65" s="1" t="s">
        <v>96</v>
      </c>
      <c r="D65" s="3">
        <v>0.5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30">
        <v>42136</v>
      </c>
      <c r="C66" s="1" t="s">
        <v>8</v>
      </c>
      <c r="D66" s="3">
        <v>1</v>
      </c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30">
        <v>42137</v>
      </c>
      <c r="C67" s="1" t="s">
        <v>31</v>
      </c>
      <c r="D67" s="3">
        <v>2</v>
      </c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30">
        <v>42137</v>
      </c>
      <c r="C68" s="1" t="s">
        <v>29</v>
      </c>
      <c r="D68" s="3">
        <v>5.5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30">
        <v>42137</v>
      </c>
      <c r="C69" s="1" t="s">
        <v>96</v>
      </c>
      <c r="D69" s="3">
        <v>0.5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30">
        <v>42137</v>
      </c>
      <c r="C70" s="1" t="s">
        <v>8</v>
      </c>
      <c r="D70" s="3">
        <v>1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30">
        <v>42138</v>
      </c>
      <c r="C71" s="1" t="s">
        <v>31</v>
      </c>
      <c r="D71" s="3">
        <v>2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30">
        <v>42138</v>
      </c>
      <c r="C72" s="1" t="s">
        <v>29</v>
      </c>
      <c r="D72" s="3">
        <v>5.5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30">
        <v>42138</v>
      </c>
      <c r="C73" s="1" t="s">
        <v>96</v>
      </c>
      <c r="D73" s="3">
        <v>0.5</v>
      </c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30">
        <v>42138</v>
      </c>
      <c r="C74" s="1" t="s">
        <v>8</v>
      </c>
      <c r="D74" s="3">
        <v>1</v>
      </c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30">
        <v>42139</v>
      </c>
      <c r="C75" s="1" t="s">
        <v>31</v>
      </c>
      <c r="D75" s="3">
        <v>2</v>
      </c>
      <c r="E75" s="3"/>
      <c r="F75" s="3"/>
      <c r="G75" s="3"/>
      <c r="H75" s="3"/>
      <c r="I75" s="3" t="s">
        <v>160</v>
      </c>
      <c r="J75" s="29"/>
      <c r="K75" s="1"/>
      <c r="L75" s="1"/>
      <c r="M75" s="54"/>
    </row>
    <row r="76" spans="1:13">
      <c r="A76" s="169"/>
      <c r="B76" s="30">
        <v>42139</v>
      </c>
      <c r="C76" s="1" t="s">
        <v>29</v>
      </c>
      <c r="D76" s="3">
        <v>5.5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30">
        <v>42139</v>
      </c>
      <c r="C77" s="1" t="s">
        <v>96</v>
      </c>
      <c r="D77" s="3">
        <v>0.5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30">
        <v>42139</v>
      </c>
      <c r="C78" s="1" t="s">
        <v>8</v>
      </c>
      <c r="D78" s="3">
        <v>1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30">
        <v>42142</v>
      </c>
      <c r="C79" s="1" t="s">
        <v>31</v>
      </c>
      <c r="D79" s="3">
        <v>2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30">
        <v>42142</v>
      </c>
      <c r="C80" s="1" t="s">
        <v>29</v>
      </c>
      <c r="D80" s="3">
        <v>5.5</v>
      </c>
      <c r="E80" s="3"/>
      <c r="F80" s="3"/>
      <c r="G80" s="3"/>
      <c r="H80" s="3"/>
      <c r="I80" s="3"/>
      <c r="J80" s="29"/>
      <c r="K80" s="1"/>
      <c r="L80" s="1"/>
      <c r="M80" s="54"/>
    </row>
    <row r="81" spans="1:13">
      <c r="A81" s="169"/>
      <c r="B81" s="30">
        <v>42142</v>
      </c>
      <c r="C81" s="1" t="s">
        <v>96</v>
      </c>
      <c r="D81" s="3">
        <v>0.5</v>
      </c>
      <c r="E81" s="3"/>
      <c r="F81" s="3"/>
      <c r="G81" s="3"/>
      <c r="H81" s="3"/>
      <c r="I81" s="3"/>
      <c r="J81" s="29"/>
      <c r="K81" s="1"/>
      <c r="L81" s="1"/>
      <c r="M81" s="54"/>
    </row>
    <row r="82" spans="1:13">
      <c r="A82" s="169"/>
      <c r="B82" s="30">
        <v>42142</v>
      </c>
      <c r="C82" s="1" t="s">
        <v>8</v>
      </c>
      <c r="D82" s="3">
        <v>1</v>
      </c>
      <c r="E82" s="3"/>
      <c r="F82" s="3"/>
      <c r="G82" s="3"/>
      <c r="H82" s="3"/>
      <c r="I82" s="3"/>
      <c r="J82" s="29"/>
      <c r="K82" s="1"/>
      <c r="L82" s="1"/>
      <c r="M82" s="54"/>
    </row>
    <row r="83" spans="1:13">
      <c r="A83" s="169"/>
      <c r="B83" s="30">
        <v>42143</v>
      </c>
      <c r="C83" s="1" t="s">
        <v>31</v>
      </c>
      <c r="D83" s="3">
        <v>2</v>
      </c>
      <c r="E83" s="3"/>
      <c r="F83" s="3"/>
      <c r="G83" s="3"/>
      <c r="H83" s="3"/>
      <c r="I83" s="3" t="s">
        <v>158</v>
      </c>
      <c r="J83" s="29"/>
      <c r="K83" s="1"/>
      <c r="L83" s="1"/>
      <c r="M83" s="54"/>
    </row>
    <row r="84" spans="1:13">
      <c r="A84" s="169"/>
      <c r="B84" s="30">
        <v>42143</v>
      </c>
      <c r="C84" s="1" t="s">
        <v>29</v>
      </c>
      <c r="D84" s="3">
        <v>5.5</v>
      </c>
      <c r="E84" s="3"/>
      <c r="F84" s="3"/>
      <c r="G84" s="3"/>
      <c r="H84" s="3"/>
      <c r="I84" s="3"/>
      <c r="J84" s="29"/>
      <c r="K84" s="1"/>
      <c r="L84" s="1"/>
      <c r="M84" s="54"/>
    </row>
    <row r="85" spans="1:13">
      <c r="A85" s="169"/>
      <c r="B85" s="30">
        <v>42143</v>
      </c>
      <c r="C85" s="1" t="s">
        <v>96</v>
      </c>
      <c r="D85" s="3">
        <v>0.5</v>
      </c>
      <c r="E85" s="3"/>
      <c r="F85" s="3"/>
      <c r="G85" s="3"/>
      <c r="H85" s="3"/>
      <c r="I85" s="3"/>
      <c r="J85" s="29"/>
      <c r="K85" s="1"/>
      <c r="L85" s="1"/>
      <c r="M85" s="54"/>
    </row>
    <row r="86" spans="1:13">
      <c r="A86" s="169"/>
      <c r="B86" s="30">
        <v>42143</v>
      </c>
      <c r="C86" s="1" t="s">
        <v>8</v>
      </c>
      <c r="D86" s="3">
        <v>1</v>
      </c>
      <c r="E86" s="3"/>
      <c r="F86" s="3"/>
      <c r="G86" s="3"/>
      <c r="H86" s="3"/>
      <c r="I86" s="3"/>
      <c r="J86" s="29"/>
      <c r="K86" s="1"/>
      <c r="L86" s="1"/>
      <c r="M86" s="54"/>
    </row>
    <row r="87" spans="1:13">
      <c r="A87" s="169"/>
      <c r="B87" s="30">
        <v>42144</v>
      </c>
      <c r="C87" s="1" t="s">
        <v>31</v>
      </c>
      <c r="D87" s="3">
        <v>2</v>
      </c>
      <c r="E87" s="3"/>
      <c r="F87" s="3"/>
      <c r="G87" s="3"/>
      <c r="H87" s="3"/>
      <c r="I87" s="3" t="s">
        <v>159</v>
      </c>
      <c r="J87" s="29"/>
      <c r="K87" s="1"/>
      <c r="L87" s="1"/>
      <c r="M87" s="54"/>
    </row>
    <row r="88" spans="1:13">
      <c r="A88" s="169"/>
      <c r="B88" s="30">
        <v>42144</v>
      </c>
      <c r="C88" s="1" t="s">
        <v>29</v>
      </c>
      <c r="D88" s="3">
        <v>5.5</v>
      </c>
      <c r="E88" s="3"/>
      <c r="F88" s="3"/>
      <c r="G88" s="3"/>
      <c r="H88" s="3"/>
      <c r="I88" s="3"/>
      <c r="J88" s="29"/>
      <c r="K88" s="1"/>
      <c r="L88" s="1"/>
      <c r="M88" s="54"/>
    </row>
    <row r="89" spans="1:13">
      <c r="A89" s="169"/>
      <c r="B89" s="30">
        <v>42144</v>
      </c>
      <c r="C89" s="1" t="s">
        <v>96</v>
      </c>
      <c r="D89" s="3">
        <v>0.5</v>
      </c>
      <c r="E89" s="3"/>
      <c r="F89" s="3"/>
      <c r="G89" s="3"/>
      <c r="H89" s="3"/>
      <c r="I89" s="3"/>
      <c r="J89" s="29"/>
      <c r="K89" s="1"/>
      <c r="L89" s="1"/>
      <c r="M89" s="54"/>
    </row>
    <row r="90" spans="1:13">
      <c r="A90" s="169"/>
      <c r="B90" s="30">
        <v>42144</v>
      </c>
      <c r="C90" s="1" t="s">
        <v>8</v>
      </c>
      <c r="D90" s="3">
        <v>1</v>
      </c>
      <c r="E90" s="3"/>
      <c r="F90" s="3"/>
      <c r="G90" s="3"/>
      <c r="H90" s="3"/>
      <c r="I90" s="3"/>
      <c r="J90" s="29"/>
      <c r="K90" s="1"/>
      <c r="L90" s="1"/>
      <c r="M90" s="54"/>
    </row>
    <row r="91" spans="1:13">
      <c r="A91" s="169"/>
      <c r="B91" s="30">
        <v>42145</v>
      </c>
      <c r="C91" s="1" t="s">
        <v>31</v>
      </c>
      <c r="D91" s="3">
        <v>2</v>
      </c>
      <c r="E91" s="3"/>
      <c r="F91" s="3"/>
      <c r="G91" s="3"/>
      <c r="H91" s="3"/>
      <c r="I91" s="3"/>
      <c r="J91" s="29"/>
      <c r="K91" s="1"/>
      <c r="L91" s="1"/>
      <c r="M91" s="54"/>
    </row>
    <row r="92" spans="1:13">
      <c r="A92" s="169"/>
      <c r="B92" s="30">
        <v>42145</v>
      </c>
      <c r="C92" s="1" t="s">
        <v>29</v>
      </c>
      <c r="D92" s="3">
        <v>5.5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3">
      <c r="A93" s="169"/>
      <c r="B93" s="30">
        <v>42145</v>
      </c>
      <c r="C93" s="1" t="s">
        <v>96</v>
      </c>
      <c r="D93" s="3">
        <v>0.5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3">
      <c r="A94" s="169"/>
      <c r="B94" s="30">
        <v>42145</v>
      </c>
      <c r="C94" s="1" t="s">
        <v>8</v>
      </c>
      <c r="D94" s="3">
        <v>1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3">
      <c r="A95" s="169"/>
      <c r="B95" s="30">
        <v>42146</v>
      </c>
      <c r="C95" s="1" t="s">
        <v>31</v>
      </c>
      <c r="D95" s="3">
        <v>2</v>
      </c>
      <c r="E95" s="3"/>
      <c r="F95" s="3"/>
      <c r="G95" s="3"/>
      <c r="H95" s="3"/>
      <c r="I95" s="3"/>
      <c r="J95" s="29"/>
      <c r="K95" s="1"/>
      <c r="L95" s="1"/>
      <c r="M95" s="54"/>
    </row>
    <row r="96" spans="1:13">
      <c r="A96" s="169"/>
      <c r="B96" s="30">
        <v>42146</v>
      </c>
      <c r="C96" s="1" t="s">
        <v>29</v>
      </c>
      <c r="D96" s="3">
        <v>5.5</v>
      </c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69"/>
      <c r="B97" s="30">
        <v>42146</v>
      </c>
      <c r="C97" s="1" t="s">
        <v>96</v>
      </c>
      <c r="D97" s="3">
        <v>0.5</v>
      </c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69"/>
      <c r="B98" s="30">
        <v>42146</v>
      </c>
      <c r="C98" s="1" t="s">
        <v>8</v>
      </c>
      <c r="D98" s="3">
        <v>1</v>
      </c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69"/>
      <c r="B99" s="30">
        <v>42149</v>
      </c>
      <c r="C99" s="1" t="s">
        <v>31</v>
      </c>
      <c r="D99" s="3">
        <v>2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69"/>
      <c r="B100" s="30">
        <v>42149</v>
      </c>
      <c r="C100" s="1" t="s">
        <v>29</v>
      </c>
      <c r="D100" s="3">
        <v>5.5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69"/>
      <c r="B101" s="30">
        <v>42149</v>
      </c>
      <c r="C101" s="1" t="s">
        <v>96</v>
      </c>
      <c r="D101" s="3">
        <v>0.5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69"/>
      <c r="B102" s="30">
        <v>42149</v>
      </c>
      <c r="C102" s="1" t="s">
        <v>8</v>
      </c>
      <c r="D102" s="3">
        <v>1</v>
      </c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69"/>
      <c r="B103" s="30">
        <v>42150</v>
      </c>
      <c r="C103" s="1" t="s">
        <v>31</v>
      </c>
      <c r="D103" s="3">
        <v>2</v>
      </c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69"/>
      <c r="B104" s="30">
        <v>42150</v>
      </c>
      <c r="C104" s="1" t="s">
        <v>29</v>
      </c>
      <c r="D104" s="3">
        <v>5.5</v>
      </c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69"/>
      <c r="B105" s="30">
        <v>42150</v>
      </c>
      <c r="C105" s="1" t="s">
        <v>96</v>
      </c>
      <c r="D105" s="3">
        <v>0.5</v>
      </c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69"/>
      <c r="B106" s="30">
        <v>42150</v>
      </c>
      <c r="C106" s="1" t="s">
        <v>8</v>
      </c>
      <c r="D106" s="3">
        <v>1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69"/>
      <c r="B107" s="30">
        <v>42151</v>
      </c>
      <c r="C107" s="1" t="s">
        <v>31</v>
      </c>
      <c r="D107" s="3">
        <v>2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69"/>
      <c r="B108" s="30">
        <v>42151</v>
      </c>
      <c r="C108" s="1" t="s">
        <v>29</v>
      </c>
      <c r="D108" s="3">
        <v>5.5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69"/>
      <c r="B109" s="30">
        <v>42151</v>
      </c>
      <c r="C109" s="1" t="s">
        <v>96</v>
      </c>
      <c r="D109" s="3">
        <v>0.5</v>
      </c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69"/>
      <c r="B110" s="30">
        <v>42151</v>
      </c>
      <c r="C110" s="1" t="s">
        <v>8</v>
      </c>
      <c r="D110" s="3">
        <v>1</v>
      </c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69"/>
      <c r="B111" s="30">
        <v>42152</v>
      </c>
      <c r="C111" s="1" t="s">
        <v>31</v>
      </c>
      <c r="D111" s="3">
        <v>2</v>
      </c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69"/>
      <c r="B112" s="30">
        <v>42152</v>
      </c>
      <c r="C112" s="1" t="s">
        <v>29</v>
      </c>
      <c r="D112" s="3">
        <v>5.5</v>
      </c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69"/>
      <c r="B113" s="30">
        <v>42152</v>
      </c>
      <c r="C113" s="1" t="s">
        <v>96</v>
      </c>
      <c r="D113" s="3">
        <v>0.5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69"/>
      <c r="B114" s="30">
        <v>42152</v>
      </c>
      <c r="C114" s="1" t="s">
        <v>8</v>
      </c>
      <c r="D114" s="3">
        <v>1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69"/>
      <c r="B115" s="30">
        <v>42153</v>
      </c>
      <c r="C115" s="1" t="s">
        <v>31</v>
      </c>
      <c r="D115" s="3">
        <v>2</v>
      </c>
      <c r="E115" s="3"/>
      <c r="F115" s="3"/>
      <c r="G115" s="3"/>
      <c r="H115" s="3"/>
      <c r="I115" s="3"/>
      <c r="J115" s="1"/>
      <c r="K115" s="1"/>
      <c r="L115" s="1"/>
      <c r="M115" s="54"/>
    </row>
    <row r="116" spans="1:18">
      <c r="A116" s="169"/>
      <c r="B116" s="30">
        <v>42153</v>
      </c>
      <c r="C116" s="1" t="s">
        <v>29</v>
      </c>
      <c r="D116" s="3">
        <v>5.5</v>
      </c>
      <c r="E116" s="3"/>
      <c r="F116" s="3"/>
      <c r="G116" s="3"/>
      <c r="H116" s="3"/>
      <c r="I116" s="3"/>
      <c r="J116" s="1"/>
      <c r="K116" s="1"/>
      <c r="L116" s="1"/>
      <c r="M116" s="54"/>
    </row>
    <row r="117" spans="1:18">
      <c r="A117" s="169"/>
      <c r="B117" s="30">
        <v>42153</v>
      </c>
      <c r="C117" s="1" t="s">
        <v>96</v>
      </c>
      <c r="D117" s="3">
        <v>0.5</v>
      </c>
      <c r="E117" s="3"/>
      <c r="F117" s="3"/>
      <c r="G117" s="3"/>
      <c r="H117" s="3"/>
      <c r="I117" s="3"/>
      <c r="J117" s="1"/>
      <c r="K117" s="1"/>
      <c r="L117" s="1"/>
      <c r="M117" s="54"/>
    </row>
    <row r="118" spans="1:18" ht="15.75" thickBot="1">
      <c r="A118" s="169"/>
      <c r="B118" s="30">
        <v>42153</v>
      </c>
      <c r="C118" s="1" t="s">
        <v>8</v>
      </c>
      <c r="D118" s="3">
        <v>1</v>
      </c>
      <c r="E118" s="3"/>
      <c r="F118" s="3"/>
      <c r="G118" s="3"/>
      <c r="H118" s="3"/>
      <c r="I118" s="3"/>
      <c r="J118" s="1"/>
      <c r="K118" s="1"/>
      <c r="L118" s="1"/>
      <c r="M118" s="54"/>
    </row>
    <row r="119" spans="1:18" ht="15.75" thickBot="1">
      <c r="A119" s="170"/>
      <c r="B119" s="30" t="s">
        <v>92</v>
      </c>
      <c r="C119" s="20"/>
      <c r="D119" s="21">
        <v>144</v>
      </c>
      <c r="E119" s="3"/>
      <c r="F119" s="3"/>
      <c r="G119" s="3"/>
      <c r="H119" s="3"/>
      <c r="I119" s="3"/>
      <c r="J119" s="1"/>
      <c r="K119" s="1"/>
      <c r="L119" s="1"/>
      <c r="M119" s="54"/>
    </row>
    <row r="120" spans="1:18" ht="15.75" thickBot="1">
      <c r="A120" s="136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8"/>
    </row>
    <row r="121" spans="1:18">
      <c r="B121"/>
      <c r="D121"/>
      <c r="E121"/>
      <c r="F121"/>
      <c r="G121"/>
      <c r="H121"/>
      <c r="I121"/>
    </row>
    <row r="122" spans="1:18">
      <c r="B122"/>
      <c r="D122"/>
      <c r="E122"/>
      <c r="F122"/>
      <c r="G122"/>
      <c r="H122"/>
      <c r="I122"/>
    </row>
    <row r="123" spans="1:18">
      <c r="B123"/>
      <c r="D123"/>
      <c r="E123"/>
      <c r="F123"/>
      <c r="G123"/>
      <c r="H123"/>
      <c r="I123"/>
    </row>
  </sheetData>
  <mergeCells count="8">
    <mergeCell ref="C1:D1"/>
    <mergeCell ref="E13:H13"/>
    <mergeCell ref="I13:L13"/>
    <mergeCell ref="A46:R46"/>
    <mergeCell ref="E50:H50"/>
    <mergeCell ref="I50:L50"/>
    <mergeCell ref="A52:A119"/>
    <mergeCell ref="A15:A44"/>
  </mergeCells>
  <conditionalFormatting sqref="C15:C44 C52:C118">
    <cfRule type="cellIs" dxfId="1" priority="1" operator="equal">
      <formula>"Leave"</formula>
    </cfRule>
    <cfRule type="cellIs" dxfId="0" priority="2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5:C44 C52:C118">
      <formula1>Tasks</formula1>
    </dataValidation>
  </dataValidations>
  <hyperlinks>
    <hyperlink ref="A3" location="Automation!A21" display="Nirbhay Patil"/>
    <hyperlink ref="A4" location="Automation!A58" display="Kirubanand 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rgb="FFFF66FF"/>
  </sheetPr>
  <dimension ref="A1:AT162"/>
  <sheetViews>
    <sheetView zoomScale="90" zoomScaleNormal="90" workbookViewId="0">
      <selection activeCell="B13" sqref="B13"/>
    </sheetView>
  </sheetViews>
  <sheetFormatPr defaultRowHeight="15"/>
  <cols>
    <col min="1" max="1" width="24.28515625" bestFit="1" customWidth="1"/>
    <col min="2" max="2" width="16.28515625" style="2" customWidth="1"/>
    <col min="3" max="3" width="25" bestFit="1" customWidth="1"/>
    <col min="4" max="4" width="9.140625" style="2"/>
    <col min="5" max="5" width="9.85546875" style="2" customWidth="1"/>
    <col min="6" max="6" width="7.140625" style="2" customWidth="1"/>
    <col min="7" max="7" width="10.140625" style="2" customWidth="1"/>
    <col min="8" max="8" width="9.140625" style="2" customWidth="1"/>
    <col min="9" max="9" width="18.5703125" style="2" customWidth="1"/>
    <col min="10" max="10" width="19.140625" customWidth="1"/>
    <col min="11" max="11" width="19.28515625" customWidth="1"/>
    <col min="12" max="12" width="11.7109375" customWidth="1"/>
    <col min="13" max="13" width="18" customWidth="1"/>
    <col min="14" max="14" width="12.42578125" customWidth="1"/>
    <col min="15" max="15" width="10.28515625" customWidth="1"/>
    <col min="17" max="17" width="19.85546875" customWidth="1"/>
    <col min="18" max="18" width="21.7109375" customWidth="1"/>
  </cols>
  <sheetData>
    <row r="1" spans="1:46" ht="15.75" thickBot="1">
      <c r="A1" s="48" t="s">
        <v>82</v>
      </c>
      <c r="C1" s="172" t="s">
        <v>35</v>
      </c>
      <c r="D1" s="173"/>
      <c r="F1"/>
      <c r="G1"/>
      <c r="H1"/>
      <c r="I1"/>
    </row>
    <row r="2" spans="1:46" ht="50.25" customHeight="1" thickBot="1">
      <c r="A2" s="50" t="s">
        <v>117</v>
      </c>
      <c r="B2" s="39"/>
      <c r="C2" s="49" t="s">
        <v>36</v>
      </c>
      <c r="D2" s="47" t="s">
        <v>10</v>
      </c>
      <c r="F2"/>
      <c r="G2"/>
      <c r="H2"/>
      <c r="I2"/>
    </row>
    <row r="3" spans="1:46">
      <c r="A3" s="40" t="s">
        <v>137</v>
      </c>
      <c r="C3" s="51" t="s">
        <v>37</v>
      </c>
      <c r="D3" s="52">
        <f>10/60</f>
        <v>0.16666666666666666</v>
      </c>
      <c r="F3"/>
      <c r="G3"/>
      <c r="H3"/>
      <c r="I3"/>
    </row>
    <row r="4" spans="1:46">
      <c r="A4" s="56" t="s">
        <v>60</v>
      </c>
      <c r="C4" s="46" t="s">
        <v>38</v>
      </c>
      <c r="D4" s="46">
        <f>1/4</f>
        <v>0.25</v>
      </c>
      <c r="F4"/>
      <c r="G4"/>
      <c r="H4"/>
      <c r="I4"/>
    </row>
    <row r="5" spans="1:46">
      <c r="A5" s="57" t="s">
        <v>61</v>
      </c>
      <c r="C5" s="46" t="s">
        <v>39</v>
      </c>
      <c r="D5" s="53">
        <f>20/60</f>
        <v>0.33333333333333331</v>
      </c>
      <c r="F5"/>
      <c r="G5"/>
      <c r="H5"/>
      <c r="I5"/>
    </row>
    <row r="6" spans="1:46">
      <c r="A6" s="58" t="s">
        <v>62</v>
      </c>
      <c r="C6" s="46" t="s">
        <v>40</v>
      </c>
      <c r="D6" s="53">
        <f>25/60</f>
        <v>0.41666666666666669</v>
      </c>
      <c r="F6"/>
      <c r="G6"/>
      <c r="H6"/>
      <c r="I6"/>
    </row>
    <row r="7" spans="1:46">
      <c r="C7" s="46" t="s">
        <v>41</v>
      </c>
      <c r="D7" s="46">
        <f>30/60</f>
        <v>0.5</v>
      </c>
      <c r="F7"/>
      <c r="G7"/>
      <c r="H7"/>
      <c r="I7"/>
    </row>
    <row r="8" spans="1:46">
      <c r="C8" s="53" t="s">
        <v>42</v>
      </c>
      <c r="D8" s="53">
        <f>40/60</f>
        <v>0.66666666666666663</v>
      </c>
      <c r="F8"/>
      <c r="G8"/>
      <c r="H8"/>
      <c r="I8"/>
    </row>
    <row r="9" spans="1:46">
      <c r="C9" s="46" t="s">
        <v>43</v>
      </c>
      <c r="D9" s="46">
        <f>45/60</f>
        <v>0.75</v>
      </c>
      <c r="F9"/>
      <c r="G9"/>
      <c r="H9"/>
      <c r="I9"/>
    </row>
    <row r="10" spans="1:46">
      <c r="F10"/>
      <c r="G10"/>
      <c r="H10"/>
      <c r="I10"/>
    </row>
    <row r="11" spans="1:46">
      <c r="C11" s="12"/>
      <c r="D11" s="12"/>
      <c r="F11"/>
      <c r="G11"/>
      <c r="H11"/>
      <c r="I11"/>
    </row>
    <row r="12" spans="1:46" s="6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65" customFormat="1" ht="15.75" thickBo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34.5" customHeight="1" thickBot="1">
      <c r="E14" s="161" t="s">
        <v>110</v>
      </c>
      <c r="F14" s="162"/>
      <c r="G14" s="162"/>
      <c r="H14" s="163"/>
      <c r="I14" s="164" t="s">
        <v>116</v>
      </c>
      <c r="J14" s="165"/>
      <c r="K14" s="165"/>
      <c r="L14" s="166"/>
    </row>
    <row r="15" spans="1:46" ht="15.75" thickBot="1">
      <c r="A15" s="33" t="s">
        <v>91</v>
      </c>
      <c r="B15" s="33" t="s">
        <v>109</v>
      </c>
      <c r="C15" s="34" t="s">
        <v>11</v>
      </c>
      <c r="D15" s="34" t="s">
        <v>10</v>
      </c>
      <c r="E15" s="35" t="s">
        <v>111</v>
      </c>
      <c r="F15" s="36" t="s">
        <v>112</v>
      </c>
      <c r="G15" s="37" t="s">
        <v>113</v>
      </c>
      <c r="H15" s="38" t="s">
        <v>114</v>
      </c>
      <c r="I15" s="35" t="s">
        <v>111</v>
      </c>
      <c r="J15" s="36" t="s">
        <v>112</v>
      </c>
      <c r="K15" s="37" t="s">
        <v>113</v>
      </c>
      <c r="L15" s="38" t="s">
        <v>114</v>
      </c>
      <c r="M15" s="34" t="s">
        <v>115</v>
      </c>
    </row>
    <row r="16" spans="1:46">
      <c r="A16" s="167" t="s">
        <v>137</v>
      </c>
      <c r="B16" s="30">
        <v>42125</v>
      </c>
      <c r="C16" s="18" t="s">
        <v>46</v>
      </c>
      <c r="D16" s="31"/>
      <c r="E16" s="31"/>
      <c r="F16" s="31"/>
      <c r="G16" s="31"/>
      <c r="H16" s="31"/>
      <c r="I16" s="31"/>
      <c r="J16" s="32"/>
      <c r="K16" s="18"/>
      <c r="L16" s="18"/>
      <c r="M16" s="54"/>
    </row>
    <row r="17" spans="1:13">
      <c r="A17" s="167"/>
      <c r="B17" s="22">
        <v>42126</v>
      </c>
      <c r="C17" s="1" t="s">
        <v>46</v>
      </c>
      <c r="D17" s="3">
        <v>9</v>
      </c>
      <c r="E17" s="3"/>
      <c r="F17" s="3"/>
      <c r="G17" s="3"/>
      <c r="H17" s="3"/>
      <c r="I17" s="3"/>
      <c r="J17" s="29"/>
      <c r="K17" s="1"/>
      <c r="L17" s="1"/>
      <c r="M17" s="54"/>
    </row>
    <row r="18" spans="1:13">
      <c r="A18" s="167"/>
      <c r="B18" s="30">
        <v>42127</v>
      </c>
      <c r="C18" s="1" t="s">
        <v>46</v>
      </c>
      <c r="D18" s="3">
        <v>9</v>
      </c>
      <c r="E18" s="3"/>
      <c r="F18" s="3"/>
      <c r="G18" s="3"/>
      <c r="H18" s="3"/>
      <c r="I18" s="3"/>
      <c r="J18" s="29"/>
      <c r="K18" s="1"/>
      <c r="L18" s="1"/>
      <c r="M18" s="54"/>
    </row>
    <row r="19" spans="1:13">
      <c r="A19" s="167"/>
      <c r="B19" s="22">
        <v>42128</v>
      </c>
      <c r="C19" s="1" t="s">
        <v>46</v>
      </c>
      <c r="D19" s="3">
        <v>9</v>
      </c>
      <c r="E19" s="3"/>
      <c r="F19" s="3"/>
      <c r="G19" s="3"/>
      <c r="H19" s="3"/>
      <c r="I19" s="3"/>
      <c r="J19" s="29"/>
      <c r="K19" s="1"/>
      <c r="L19" s="1"/>
      <c r="M19" s="54"/>
    </row>
    <row r="20" spans="1:13">
      <c r="A20" s="167"/>
      <c r="B20" s="30">
        <v>42129</v>
      </c>
      <c r="C20" s="1" t="s">
        <v>46</v>
      </c>
      <c r="D20" s="3">
        <v>9</v>
      </c>
      <c r="E20" s="3"/>
      <c r="F20" s="3"/>
      <c r="G20" s="3"/>
      <c r="H20" s="3"/>
      <c r="I20" s="3"/>
      <c r="J20" s="29"/>
      <c r="K20" s="1"/>
      <c r="L20" s="1"/>
      <c r="M20" s="54"/>
    </row>
    <row r="21" spans="1:13">
      <c r="A21" s="167"/>
      <c r="B21" s="22">
        <v>42130</v>
      </c>
      <c r="C21" s="1" t="s">
        <v>46</v>
      </c>
      <c r="D21" s="3">
        <v>9</v>
      </c>
      <c r="E21" s="3"/>
      <c r="F21" s="3"/>
      <c r="G21" s="3"/>
      <c r="H21" s="3"/>
      <c r="I21" s="3"/>
      <c r="J21" s="29"/>
      <c r="K21" s="1"/>
      <c r="L21" s="1"/>
      <c r="M21" s="54"/>
    </row>
    <row r="22" spans="1:13">
      <c r="A22" s="167"/>
      <c r="B22" s="30">
        <v>42131</v>
      </c>
      <c r="C22" s="1" t="s">
        <v>46</v>
      </c>
      <c r="D22" s="3"/>
      <c r="E22" s="3"/>
      <c r="F22" s="3"/>
      <c r="G22" s="3"/>
      <c r="H22" s="3"/>
      <c r="I22" s="3"/>
      <c r="J22" s="29"/>
      <c r="K22" s="1"/>
      <c r="L22" s="1"/>
      <c r="M22" s="54"/>
    </row>
    <row r="23" spans="1:13">
      <c r="A23" s="167"/>
      <c r="B23" s="22">
        <v>42132</v>
      </c>
      <c r="C23" s="1" t="s">
        <v>46</v>
      </c>
      <c r="D23" s="3"/>
      <c r="E23" s="3"/>
      <c r="F23" s="3"/>
      <c r="G23" s="3"/>
      <c r="H23" s="3"/>
      <c r="I23" s="3"/>
      <c r="J23" s="29"/>
      <c r="K23" s="1"/>
      <c r="L23" s="1"/>
      <c r="M23" s="54"/>
    </row>
    <row r="24" spans="1:13">
      <c r="A24" s="167"/>
      <c r="B24" s="30">
        <v>42133</v>
      </c>
      <c r="C24" s="1" t="s">
        <v>46</v>
      </c>
      <c r="D24" s="3">
        <v>9</v>
      </c>
      <c r="E24" s="3"/>
      <c r="F24" s="3"/>
      <c r="G24" s="3"/>
      <c r="H24" s="3"/>
      <c r="I24" s="3"/>
      <c r="J24" s="29"/>
      <c r="K24" s="1"/>
      <c r="L24" s="1"/>
      <c r="M24" s="54"/>
    </row>
    <row r="25" spans="1:13">
      <c r="A25" s="167"/>
      <c r="B25" s="22">
        <v>42134</v>
      </c>
      <c r="C25" s="1" t="s">
        <v>46</v>
      </c>
      <c r="D25" s="3">
        <v>9</v>
      </c>
      <c r="E25" s="3"/>
      <c r="F25" s="3"/>
      <c r="G25" s="3"/>
      <c r="H25" s="3"/>
      <c r="I25" s="3"/>
      <c r="J25" s="29"/>
      <c r="K25" s="1"/>
      <c r="L25" s="1"/>
      <c r="M25" s="54"/>
    </row>
    <row r="26" spans="1:13">
      <c r="A26" s="167"/>
      <c r="B26" s="30">
        <v>42135</v>
      </c>
      <c r="C26" s="1" t="s">
        <v>46</v>
      </c>
      <c r="D26" s="3">
        <v>9</v>
      </c>
      <c r="E26" s="3"/>
      <c r="F26" s="3"/>
      <c r="G26" s="3"/>
      <c r="H26" s="3"/>
      <c r="I26" s="3"/>
      <c r="J26" s="29"/>
      <c r="K26" s="1"/>
      <c r="L26" s="1"/>
      <c r="M26" s="54"/>
    </row>
    <row r="27" spans="1:13">
      <c r="A27" s="167"/>
      <c r="B27" s="22">
        <v>42136</v>
      </c>
      <c r="C27" s="1" t="s">
        <v>46</v>
      </c>
      <c r="D27" s="3">
        <v>9</v>
      </c>
      <c r="E27" s="3"/>
      <c r="F27" s="3"/>
      <c r="G27" s="3"/>
      <c r="H27" s="3"/>
      <c r="I27" s="3"/>
      <c r="J27" s="29"/>
      <c r="K27" s="1"/>
      <c r="L27" s="1"/>
      <c r="M27" s="54"/>
    </row>
    <row r="28" spans="1:13">
      <c r="A28" s="167"/>
      <c r="B28" s="30">
        <v>42137</v>
      </c>
      <c r="C28" s="1" t="s">
        <v>46</v>
      </c>
      <c r="D28" s="3">
        <v>9</v>
      </c>
      <c r="E28" s="3"/>
      <c r="F28" s="3"/>
      <c r="G28" s="3"/>
      <c r="H28" s="3"/>
      <c r="I28" s="3"/>
      <c r="J28" s="29"/>
      <c r="K28" s="1"/>
      <c r="L28" s="1"/>
      <c r="M28" s="54"/>
    </row>
    <row r="29" spans="1:13">
      <c r="A29" s="167"/>
      <c r="B29" s="22">
        <v>42138</v>
      </c>
      <c r="C29" s="1" t="s">
        <v>46</v>
      </c>
      <c r="D29" s="3"/>
      <c r="E29" s="3"/>
      <c r="F29" s="3"/>
      <c r="G29" s="3"/>
      <c r="H29" s="3"/>
      <c r="I29" s="3"/>
      <c r="J29" s="29"/>
      <c r="K29" s="1"/>
      <c r="L29" s="1"/>
      <c r="M29" s="54"/>
    </row>
    <row r="30" spans="1:13">
      <c r="A30" s="167"/>
      <c r="B30" s="30">
        <v>42139</v>
      </c>
      <c r="C30" s="1" t="s">
        <v>46</v>
      </c>
      <c r="D30" s="3"/>
      <c r="E30" s="3"/>
      <c r="F30" s="3"/>
      <c r="G30" s="3"/>
      <c r="H30" s="3"/>
      <c r="I30" s="3"/>
      <c r="J30" s="29"/>
      <c r="K30" s="1"/>
      <c r="L30" s="1"/>
      <c r="M30" s="54"/>
    </row>
    <row r="31" spans="1:13">
      <c r="A31" s="167"/>
      <c r="B31" s="22">
        <v>42140</v>
      </c>
      <c r="C31" s="1" t="s">
        <v>46</v>
      </c>
      <c r="D31" s="3">
        <v>9</v>
      </c>
      <c r="E31" s="3"/>
      <c r="F31" s="3"/>
      <c r="G31" s="3"/>
      <c r="H31" s="3"/>
      <c r="I31" s="3"/>
      <c r="J31" s="29"/>
      <c r="K31" s="1"/>
      <c r="L31" s="1"/>
      <c r="M31" s="54"/>
    </row>
    <row r="32" spans="1:13">
      <c r="A32" s="167"/>
      <c r="B32" s="30">
        <v>42141</v>
      </c>
      <c r="C32" s="1" t="s">
        <v>46</v>
      </c>
      <c r="D32" s="3">
        <v>9</v>
      </c>
      <c r="E32" s="3"/>
      <c r="F32" s="3"/>
      <c r="G32" s="3"/>
      <c r="H32" s="3"/>
      <c r="I32" s="3"/>
      <c r="J32" s="29"/>
      <c r="K32" s="1"/>
      <c r="L32" s="1"/>
      <c r="M32" s="54"/>
    </row>
    <row r="33" spans="1:18">
      <c r="A33" s="167"/>
      <c r="B33" s="22">
        <v>42142</v>
      </c>
      <c r="C33" s="1" t="s">
        <v>46</v>
      </c>
      <c r="D33" s="3">
        <v>9</v>
      </c>
      <c r="E33" s="3"/>
      <c r="F33" s="3"/>
      <c r="G33" s="3"/>
      <c r="H33" s="3"/>
      <c r="I33" s="3"/>
      <c r="J33" s="29"/>
      <c r="K33" s="1"/>
      <c r="L33" s="1"/>
      <c r="M33" s="54"/>
    </row>
    <row r="34" spans="1:18">
      <c r="A34" s="167"/>
      <c r="B34" s="30">
        <v>42143</v>
      </c>
      <c r="C34" s="1" t="s">
        <v>46</v>
      </c>
      <c r="D34" s="3">
        <v>9</v>
      </c>
      <c r="E34" s="3"/>
      <c r="F34" s="3"/>
      <c r="G34" s="3"/>
      <c r="H34" s="3"/>
      <c r="I34" s="3"/>
      <c r="J34" s="29"/>
      <c r="K34" s="1"/>
      <c r="L34" s="1"/>
      <c r="M34" s="54"/>
    </row>
    <row r="35" spans="1:18">
      <c r="A35" s="167"/>
      <c r="B35" s="22">
        <v>42144</v>
      </c>
      <c r="C35" s="1" t="s">
        <v>46</v>
      </c>
      <c r="D35" s="3">
        <v>9</v>
      </c>
      <c r="E35" s="3"/>
      <c r="F35" s="3"/>
      <c r="G35" s="3"/>
      <c r="H35" s="3"/>
      <c r="I35" s="3"/>
      <c r="J35" s="29"/>
      <c r="K35" s="1"/>
      <c r="L35" s="1"/>
      <c r="M35" s="54"/>
    </row>
    <row r="36" spans="1:18">
      <c r="A36" s="167"/>
      <c r="B36" s="30">
        <v>42145</v>
      </c>
      <c r="C36" s="1" t="s">
        <v>46</v>
      </c>
      <c r="D36" s="3"/>
      <c r="E36" s="3"/>
      <c r="F36" s="3"/>
      <c r="G36" s="3"/>
      <c r="H36" s="3"/>
      <c r="I36" s="3"/>
      <c r="J36" s="29"/>
      <c r="K36" s="1"/>
      <c r="L36" s="1"/>
      <c r="M36" s="54"/>
    </row>
    <row r="37" spans="1:18">
      <c r="A37" s="167"/>
      <c r="B37" s="22">
        <v>42146</v>
      </c>
      <c r="C37" s="1" t="s">
        <v>46</v>
      </c>
      <c r="D37" s="3"/>
      <c r="E37" s="3"/>
      <c r="F37" s="3"/>
      <c r="G37" s="3"/>
      <c r="H37" s="3"/>
      <c r="I37" s="3"/>
      <c r="J37" s="29"/>
      <c r="K37" s="1"/>
      <c r="L37" s="1"/>
      <c r="M37" s="54"/>
    </row>
    <row r="38" spans="1:18">
      <c r="A38" s="167"/>
      <c r="B38" s="30">
        <v>42147</v>
      </c>
      <c r="C38" s="1" t="s">
        <v>46</v>
      </c>
      <c r="D38" s="3">
        <v>9</v>
      </c>
      <c r="E38" s="3"/>
      <c r="F38" s="3"/>
      <c r="G38" s="3"/>
      <c r="H38" s="3"/>
      <c r="I38" s="3"/>
      <c r="J38" s="29"/>
      <c r="K38" s="1"/>
      <c r="L38" s="1"/>
      <c r="M38" s="54"/>
    </row>
    <row r="39" spans="1:18">
      <c r="A39" s="167"/>
      <c r="B39" s="22">
        <v>42148</v>
      </c>
      <c r="C39" s="1" t="s">
        <v>46</v>
      </c>
      <c r="D39" s="3">
        <v>9</v>
      </c>
      <c r="E39" s="3"/>
      <c r="F39" s="3"/>
      <c r="G39" s="3"/>
      <c r="H39" s="3"/>
      <c r="I39" s="3"/>
      <c r="J39" s="29"/>
      <c r="K39" s="1"/>
      <c r="L39" s="1"/>
      <c r="M39" s="54"/>
    </row>
    <row r="40" spans="1:18">
      <c r="A40" s="167"/>
      <c r="B40" s="30">
        <v>42149</v>
      </c>
      <c r="C40" s="1" t="s">
        <v>46</v>
      </c>
      <c r="D40" s="3">
        <v>9</v>
      </c>
      <c r="E40" s="3"/>
      <c r="F40" s="3"/>
      <c r="G40" s="3"/>
      <c r="H40" s="3"/>
      <c r="I40" s="3"/>
      <c r="J40" s="29"/>
      <c r="K40" s="1"/>
      <c r="L40" s="1"/>
      <c r="M40" s="54"/>
    </row>
    <row r="41" spans="1:18">
      <c r="A41" s="167"/>
      <c r="B41" s="22">
        <v>42150</v>
      </c>
      <c r="C41" s="1" t="s">
        <v>46</v>
      </c>
      <c r="D41" s="3">
        <v>9</v>
      </c>
      <c r="E41" s="3"/>
      <c r="F41" s="3"/>
      <c r="G41" s="3"/>
      <c r="H41" s="3"/>
      <c r="I41" s="3"/>
      <c r="J41" s="29"/>
      <c r="K41" s="1"/>
      <c r="L41" s="1"/>
      <c r="M41" s="54"/>
    </row>
    <row r="42" spans="1:18">
      <c r="A42" s="167"/>
      <c r="B42" s="30">
        <v>42151</v>
      </c>
      <c r="C42" s="1" t="s">
        <v>46</v>
      </c>
      <c r="D42" s="3">
        <v>9</v>
      </c>
      <c r="E42" s="3"/>
      <c r="F42" s="3"/>
      <c r="G42" s="3"/>
      <c r="H42" s="3"/>
      <c r="I42" s="3"/>
      <c r="J42" s="29"/>
      <c r="K42" s="1"/>
      <c r="L42" s="1"/>
      <c r="M42" s="54"/>
    </row>
    <row r="43" spans="1:18">
      <c r="A43" s="167"/>
      <c r="B43" s="22">
        <v>42152</v>
      </c>
      <c r="C43" s="1" t="s">
        <v>46</v>
      </c>
      <c r="D43" s="3"/>
      <c r="E43" s="3"/>
      <c r="F43" s="3"/>
      <c r="G43" s="3"/>
      <c r="H43" s="3"/>
      <c r="I43" s="3"/>
      <c r="J43" s="29"/>
      <c r="K43" s="1"/>
      <c r="L43" s="1"/>
      <c r="M43" s="54"/>
    </row>
    <row r="44" spans="1:18">
      <c r="A44" s="167"/>
      <c r="B44" s="30">
        <v>42153</v>
      </c>
      <c r="C44" s="1" t="s">
        <v>46</v>
      </c>
      <c r="D44" s="3"/>
      <c r="E44" s="3"/>
      <c r="F44" s="3"/>
      <c r="G44" s="3"/>
      <c r="H44" s="3"/>
      <c r="I44" s="3"/>
      <c r="J44" s="29"/>
      <c r="K44" s="1"/>
      <c r="L44" s="1"/>
      <c r="M44" s="54"/>
    </row>
    <row r="45" spans="1:18" ht="15.75" thickBot="1">
      <c r="A45" s="167"/>
      <c r="B45" s="22">
        <v>42154</v>
      </c>
      <c r="C45" s="1" t="s">
        <v>46</v>
      </c>
      <c r="D45" s="19">
        <v>9</v>
      </c>
      <c r="E45" s="3"/>
      <c r="F45" s="3"/>
      <c r="G45" s="3"/>
      <c r="H45" s="3"/>
      <c r="I45" s="3"/>
      <c r="J45" s="1"/>
      <c r="K45" s="1"/>
      <c r="L45" s="1"/>
      <c r="M45" s="54"/>
    </row>
    <row r="46" spans="1:18" ht="15.75" thickBot="1">
      <c r="A46" s="61"/>
      <c r="B46" s="62" t="s">
        <v>92</v>
      </c>
      <c r="C46" s="63"/>
      <c r="D46" s="64">
        <f>SUM(D16:D45)</f>
        <v>189</v>
      </c>
      <c r="E46"/>
      <c r="F46"/>
      <c r="G46"/>
      <c r="H46"/>
      <c r="I46"/>
    </row>
    <row r="47" spans="1:18" ht="15.75" thickBot="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>
      <c r="B48"/>
      <c r="D48"/>
      <c r="E48"/>
      <c r="F48"/>
      <c r="G48"/>
      <c r="H48"/>
      <c r="I48"/>
    </row>
    <row r="49" spans="1:13">
      <c r="B49"/>
      <c r="D49"/>
      <c r="E49"/>
      <c r="F49"/>
      <c r="G49"/>
      <c r="H49"/>
      <c r="I49"/>
    </row>
    <row r="50" spans="1:13" ht="15.75" thickBot="1">
      <c r="B50"/>
      <c r="D50"/>
      <c r="E50"/>
      <c r="F50"/>
      <c r="G50"/>
      <c r="H50"/>
      <c r="I50"/>
    </row>
    <row r="51" spans="1:13" ht="15.75" thickBot="1">
      <c r="E51" s="161" t="s">
        <v>110</v>
      </c>
      <c r="F51" s="162"/>
      <c r="G51" s="162"/>
      <c r="H51" s="163"/>
      <c r="I51" s="164" t="s">
        <v>116</v>
      </c>
      <c r="J51" s="165"/>
      <c r="K51" s="165"/>
      <c r="L51" s="166"/>
    </row>
    <row r="52" spans="1:13" ht="15.75" thickBot="1">
      <c r="A52" s="55" t="s">
        <v>91</v>
      </c>
      <c r="B52" s="33" t="s">
        <v>109</v>
      </c>
      <c r="C52" s="34" t="s">
        <v>11</v>
      </c>
      <c r="D52" s="34" t="s">
        <v>10</v>
      </c>
      <c r="E52" s="35" t="s">
        <v>111</v>
      </c>
      <c r="F52" s="36" t="s">
        <v>112</v>
      </c>
      <c r="G52" s="37" t="s">
        <v>113</v>
      </c>
      <c r="H52" s="38" t="s">
        <v>114</v>
      </c>
      <c r="I52" s="35" t="s">
        <v>111</v>
      </c>
      <c r="J52" s="36" t="s">
        <v>112</v>
      </c>
      <c r="K52" s="37" t="s">
        <v>113</v>
      </c>
      <c r="L52" s="38" t="s">
        <v>114</v>
      </c>
      <c r="M52" s="34" t="s">
        <v>115</v>
      </c>
    </row>
    <row r="53" spans="1:13">
      <c r="A53" s="168" t="s">
        <v>60</v>
      </c>
      <c r="B53" s="30">
        <v>42095</v>
      </c>
      <c r="C53" s="18" t="s">
        <v>46</v>
      </c>
      <c r="D53" s="31"/>
      <c r="E53" s="31"/>
      <c r="F53" s="31"/>
      <c r="G53" s="31"/>
      <c r="H53" s="31"/>
      <c r="I53" s="31"/>
      <c r="J53" s="32"/>
      <c r="K53" s="18"/>
      <c r="L53" s="18"/>
      <c r="M53" s="54"/>
    </row>
    <row r="54" spans="1:13">
      <c r="A54" s="169"/>
      <c r="B54" s="22">
        <v>42096</v>
      </c>
      <c r="C54" s="1" t="s">
        <v>46</v>
      </c>
      <c r="D54" s="3">
        <v>9</v>
      </c>
      <c r="E54" s="3"/>
      <c r="F54" s="3"/>
      <c r="G54" s="3"/>
      <c r="H54" s="3"/>
      <c r="I54" s="3"/>
      <c r="J54" s="29"/>
      <c r="K54" s="1"/>
      <c r="L54" s="1"/>
      <c r="M54" s="54"/>
    </row>
    <row r="55" spans="1:13">
      <c r="A55" s="169"/>
      <c r="B55" s="22">
        <v>42097</v>
      </c>
      <c r="C55" s="1" t="s">
        <v>46</v>
      </c>
      <c r="D55" s="3">
        <v>9</v>
      </c>
      <c r="E55" s="3"/>
      <c r="F55" s="3"/>
      <c r="G55" s="3"/>
      <c r="H55" s="3"/>
      <c r="I55" s="3"/>
      <c r="J55" s="29"/>
      <c r="K55" s="1"/>
      <c r="L55" s="1"/>
      <c r="M55" s="54"/>
    </row>
    <row r="56" spans="1:13">
      <c r="A56" s="169"/>
      <c r="B56" s="22">
        <v>42098</v>
      </c>
      <c r="C56" s="1" t="s">
        <v>46</v>
      </c>
      <c r="D56" s="3">
        <v>9</v>
      </c>
      <c r="E56" s="3"/>
      <c r="F56" s="3"/>
      <c r="G56" s="3"/>
      <c r="H56" s="3"/>
      <c r="I56" s="3"/>
      <c r="J56" s="29"/>
      <c r="K56" s="1"/>
      <c r="L56" s="1"/>
      <c r="M56" s="54"/>
    </row>
    <row r="57" spans="1:13">
      <c r="A57" s="169"/>
      <c r="B57" s="22">
        <v>42099</v>
      </c>
      <c r="C57" s="1" t="s">
        <v>46</v>
      </c>
      <c r="D57" s="3">
        <v>9</v>
      </c>
      <c r="E57" s="3"/>
      <c r="F57" s="3"/>
      <c r="G57" s="3"/>
      <c r="H57" s="3"/>
      <c r="I57" s="3"/>
      <c r="J57" s="29"/>
      <c r="K57" s="1"/>
      <c r="L57" s="1"/>
      <c r="M57" s="54"/>
    </row>
    <row r="58" spans="1:13">
      <c r="A58" s="169"/>
      <c r="B58" s="22">
        <v>42100</v>
      </c>
      <c r="C58" s="1" t="s">
        <v>46</v>
      </c>
      <c r="D58" s="3">
        <v>9</v>
      </c>
      <c r="E58" s="3"/>
      <c r="F58" s="3"/>
      <c r="G58" s="3"/>
      <c r="H58" s="3"/>
      <c r="I58" s="3"/>
      <c r="J58" s="29"/>
      <c r="K58" s="1"/>
      <c r="L58" s="1"/>
      <c r="M58" s="54"/>
    </row>
    <row r="59" spans="1:13">
      <c r="A59" s="169"/>
      <c r="B59" s="22">
        <v>42101</v>
      </c>
      <c r="C59" s="1" t="s">
        <v>46</v>
      </c>
      <c r="D59" s="3"/>
      <c r="E59" s="3"/>
      <c r="F59" s="3"/>
      <c r="G59" s="3"/>
      <c r="H59" s="3"/>
      <c r="I59" s="3"/>
      <c r="J59" s="29"/>
      <c r="K59" s="1"/>
      <c r="L59" s="1"/>
      <c r="M59" s="54"/>
    </row>
    <row r="60" spans="1:13">
      <c r="A60" s="169"/>
      <c r="B60" s="22">
        <v>42102</v>
      </c>
      <c r="C60" s="1" t="s">
        <v>46</v>
      </c>
      <c r="D60" s="3"/>
      <c r="E60" s="3"/>
      <c r="F60" s="3"/>
      <c r="G60" s="3"/>
      <c r="H60" s="3"/>
      <c r="I60" s="3"/>
      <c r="J60" s="29"/>
      <c r="K60" s="1"/>
      <c r="L60" s="1"/>
      <c r="M60" s="54"/>
    </row>
    <row r="61" spans="1:13">
      <c r="A61" s="169"/>
      <c r="B61" s="22">
        <v>42103</v>
      </c>
      <c r="C61" s="1" t="s">
        <v>46</v>
      </c>
      <c r="D61" s="3">
        <v>9</v>
      </c>
      <c r="E61" s="3"/>
      <c r="F61" s="3"/>
      <c r="G61" s="3"/>
      <c r="H61" s="3"/>
      <c r="I61" s="3"/>
      <c r="J61" s="29"/>
      <c r="K61" s="1"/>
      <c r="L61" s="1"/>
      <c r="M61" s="54"/>
    </row>
    <row r="62" spans="1:13">
      <c r="A62" s="169"/>
      <c r="B62" s="22">
        <v>42104</v>
      </c>
      <c r="C62" s="1" t="s">
        <v>46</v>
      </c>
      <c r="D62" s="3">
        <v>9</v>
      </c>
      <c r="E62" s="3"/>
      <c r="F62" s="3"/>
      <c r="G62" s="3"/>
      <c r="H62" s="3"/>
      <c r="I62" s="3"/>
      <c r="J62" s="29"/>
      <c r="K62" s="1"/>
      <c r="L62" s="1"/>
      <c r="M62" s="54"/>
    </row>
    <row r="63" spans="1:13">
      <c r="A63" s="169"/>
      <c r="B63" s="22">
        <v>42105</v>
      </c>
      <c r="C63" s="1" t="s">
        <v>46</v>
      </c>
      <c r="D63" s="3">
        <v>9</v>
      </c>
      <c r="E63" s="3"/>
      <c r="F63" s="3"/>
      <c r="G63" s="3"/>
      <c r="H63" s="3"/>
      <c r="I63" s="3"/>
      <c r="J63" s="29"/>
      <c r="K63" s="1"/>
      <c r="L63" s="1"/>
      <c r="M63" s="54"/>
    </row>
    <row r="64" spans="1:13">
      <c r="A64" s="169"/>
      <c r="B64" s="22">
        <v>42106</v>
      </c>
      <c r="C64" s="1" t="s">
        <v>46</v>
      </c>
      <c r="D64" s="3">
        <v>9</v>
      </c>
      <c r="E64" s="3"/>
      <c r="F64" s="3"/>
      <c r="G64" s="3"/>
      <c r="H64" s="3"/>
      <c r="I64" s="3"/>
      <c r="J64" s="29"/>
      <c r="K64" s="1"/>
      <c r="L64" s="1"/>
      <c r="M64" s="54"/>
    </row>
    <row r="65" spans="1:13">
      <c r="A65" s="169"/>
      <c r="B65" s="22">
        <v>42107</v>
      </c>
      <c r="C65" s="1" t="s">
        <v>46</v>
      </c>
      <c r="D65" s="3">
        <v>9</v>
      </c>
      <c r="E65" s="3"/>
      <c r="F65" s="3"/>
      <c r="G65" s="3"/>
      <c r="H65" s="3"/>
      <c r="I65" s="3"/>
      <c r="J65" s="29"/>
      <c r="K65" s="1"/>
      <c r="L65" s="1"/>
      <c r="M65" s="54"/>
    </row>
    <row r="66" spans="1:13">
      <c r="A66" s="169"/>
      <c r="B66" s="22">
        <v>42108</v>
      </c>
      <c r="C66" s="1" t="s">
        <v>46</v>
      </c>
      <c r="D66" s="3"/>
      <c r="E66" s="3"/>
      <c r="F66" s="3"/>
      <c r="G66" s="3"/>
      <c r="H66" s="3"/>
      <c r="I66" s="3"/>
      <c r="J66" s="29"/>
      <c r="K66" s="1"/>
      <c r="L66" s="1"/>
      <c r="M66" s="54"/>
    </row>
    <row r="67" spans="1:13">
      <c r="A67" s="169"/>
      <c r="B67" s="22">
        <v>42109</v>
      </c>
      <c r="C67" s="1" t="s">
        <v>46</v>
      </c>
      <c r="D67" s="3"/>
      <c r="E67" s="3"/>
      <c r="F67" s="3"/>
      <c r="G67" s="3"/>
      <c r="H67" s="3"/>
      <c r="I67" s="3"/>
      <c r="J67" s="29"/>
      <c r="K67" s="1"/>
      <c r="L67" s="1"/>
      <c r="M67" s="54"/>
    </row>
    <row r="68" spans="1:13">
      <c r="A68" s="169"/>
      <c r="B68" s="22">
        <v>42110</v>
      </c>
      <c r="C68" s="1" t="s">
        <v>46</v>
      </c>
      <c r="D68" s="3">
        <v>9</v>
      </c>
      <c r="E68" s="3"/>
      <c r="F68" s="3"/>
      <c r="G68" s="3"/>
      <c r="H68" s="3"/>
      <c r="I68" s="3"/>
      <c r="J68" s="29"/>
      <c r="K68" s="1"/>
      <c r="L68" s="1"/>
      <c r="M68" s="54"/>
    </row>
    <row r="69" spans="1:13">
      <c r="A69" s="169"/>
      <c r="B69" s="22">
        <v>42111</v>
      </c>
      <c r="C69" s="1" t="s">
        <v>46</v>
      </c>
      <c r="D69" s="3">
        <v>9</v>
      </c>
      <c r="E69" s="3"/>
      <c r="F69" s="3"/>
      <c r="G69" s="3"/>
      <c r="H69" s="3"/>
      <c r="I69" s="3"/>
      <c r="J69" s="29"/>
      <c r="K69" s="1"/>
      <c r="L69" s="1"/>
      <c r="M69" s="54"/>
    </row>
    <row r="70" spans="1:13">
      <c r="A70" s="169"/>
      <c r="B70" s="22">
        <v>42112</v>
      </c>
      <c r="C70" s="1" t="s">
        <v>46</v>
      </c>
      <c r="D70" s="3">
        <v>9</v>
      </c>
      <c r="E70" s="3"/>
      <c r="F70" s="3"/>
      <c r="G70" s="3"/>
      <c r="H70" s="3"/>
      <c r="I70" s="3"/>
      <c r="J70" s="29"/>
      <c r="K70" s="1"/>
      <c r="L70" s="1"/>
      <c r="M70" s="54"/>
    </row>
    <row r="71" spans="1:13">
      <c r="A71" s="169"/>
      <c r="B71" s="22">
        <v>42113</v>
      </c>
      <c r="C71" s="1" t="s">
        <v>46</v>
      </c>
      <c r="D71" s="3">
        <v>9</v>
      </c>
      <c r="E71" s="3"/>
      <c r="F71" s="3"/>
      <c r="G71" s="3"/>
      <c r="H71" s="3"/>
      <c r="I71" s="3"/>
      <c r="J71" s="29"/>
      <c r="K71" s="1"/>
      <c r="L71" s="1"/>
      <c r="M71" s="54"/>
    </row>
    <row r="72" spans="1:13">
      <c r="A72" s="169"/>
      <c r="B72" s="22">
        <v>42114</v>
      </c>
      <c r="C72" s="1" t="s">
        <v>46</v>
      </c>
      <c r="D72" s="3">
        <v>9</v>
      </c>
      <c r="E72" s="3"/>
      <c r="F72" s="3"/>
      <c r="G72" s="3"/>
      <c r="H72" s="3"/>
      <c r="I72" s="3"/>
      <c r="J72" s="29"/>
      <c r="K72" s="1"/>
      <c r="L72" s="1"/>
      <c r="M72" s="54"/>
    </row>
    <row r="73" spans="1:13">
      <c r="A73" s="169"/>
      <c r="B73" s="22">
        <v>42115</v>
      </c>
      <c r="C73" s="1" t="s">
        <v>46</v>
      </c>
      <c r="D73" s="3"/>
      <c r="E73" s="3"/>
      <c r="F73" s="3"/>
      <c r="G73" s="3"/>
      <c r="H73" s="3"/>
      <c r="I73" s="3"/>
      <c r="J73" s="29"/>
      <c r="K73" s="1"/>
      <c r="L73" s="1"/>
      <c r="M73" s="54"/>
    </row>
    <row r="74" spans="1:13">
      <c r="A74" s="169"/>
      <c r="B74" s="22">
        <v>42116</v>
      </c>
      <c r="C74" s="1" t="s">
        <v>46</v>
      </c>
      <c r="D74" s="3"/>
      <c r="E74" s="3"/>
      <c r="F74" s="3"/>
      <c r="G74" s="3"/>
      <c r="H74" s="3"/>
      <c r="I74" s="3"/>
      <c r="J74" s="29"/>
      <c r="K74" s="1"/>
      <c r="L74" s="1"/>
      <c r="M74" s="54"/>
    </row>
    <row r="75" spans="1:13">
      <c r="A75" s="169"/>
      <c r="B75" s="22">
        <v>42117</v>
      </c>
      <c r="C75" s="1" t="s">
        <v>46</v>
      </c>
      <c r="D75" s="3">
        <v>9</v>
      </c>
      <c r="E75" s="3"/>
      <c r="F75" s="3"/>
      <c r="G75" s="3"/>
      <c r="H75" s="3"/>
      <c r="I75" s="3"/>
      <c r="J75" s="29"/>
      <c r="K75" s="1"/>
      <c r="L75" s="1"/>
      <c r="M75" s="54"/>
    </row>
    <row r="76" spans="1:13">
      <c r="A76" s="169"/>
      <c r="B76" s="22">
        <v>42118</v>
      </c>
      <c r="C76" s="1" t="s">
        <v>46</v>
      </c>
      <c r="D76" s="3">
        <v>9</v>
      </c>
      <c r="E76" s="3"/>
      <c r="F76" s="3"/>
      <c r="G76" s="3"/>
      <c r="H76" s="3"/>
      <c r="I76" s="3"/>
      <c r="J76" s="29"/>
      <c r="K76" s="1"/>
      <c r="L76" s="1"/>
      <c r="M76" s="54"/>
    </row>
    <row r="77" spans="1:13">
      <c r="A77" s="169"/>
      <c r="B77" s="22">
        <v>42119</v>
      </c>
      <c r="C77" s="1" t="s">
        <v>46</v>
      </c>
      <c r="D77" s="3">
        <v>9</v>
      </c>
      <c r="E77" s="3"/>
      <c r="F77" s="3"/>
      <c r="G77" s="3"/>
      <c r="H77" s="3"/>
      <c r="I77" s="3"/>
      <c r="J77" s="29"/>
      <c r="K77" s="1"/>
      <c r="L77" s="1"/>
      <c r="M77" s="54"/>
    </row>
    <row r="78" spans="1:13">
      <c r="A78" s="169"/>
      <c r="B78" s="22">
        <v>42120</v>
      </c>
      <c r="C78" s="1" t="s">
        <v>46</v>
      </c>
      <c r="D78" s="3">
        <v>9</v>
      </c>
      <c r="E78" s="3"/>
      <c r="F78" s="3"/>
      <c r="G78" s="3"/>
      <c r="H78" s="3"/>
      <c r="I78" s="3"/>
      <c r="J78" s="29"/>
      <c r="K78" s="1"/>
      <c r="L78" s="1"/>
      <c r="M78" s="54"/>
    </row>
    <row r="79" spans="1:13">
      <c r="A79" s="169"/>
      <c r="B79" s="22">
        <v>42121</v>
      </c>
      <c r="C79" s="1" t="s">
        <v>46</v>
      </c>
      <c r="D79" s="3">
        <v>9</v>
      </c>
      <c r="E79" s="3"/>
      <c r="F79" s="3"/>
      <c r="G79" s="3"/>
      <c r="H79" s="3"/>
      <c r="I79" s="3"/>
      <c r="J79" s="29"/>
      <c r="K79" s="1"/>
      <c r="L79" s="1"/>
      <c r="M79" s="54"/>
    </row>
    <row r="80" spans="1:13">
      <c r="A80" s="169"/>
      <c r="B80" s="22">
        <v>42122</v>
      </c>
      <c r="C80" s="1" t="s">
        <v>46</v>
      </c>
      <c r="D80" s="3"/>
      <c r="E80" s="3"/>
      <c r="F80" s="3"/>
      <c r="G80" s="3"/>
      <c r="H80" s="3"/>
      <c r="I80" s="3"/>
      <c r="J80" s="29"/>
      <c r="K80" s="1"/>
      <c r="L80" s="1"/>
      <c r="M80" s="54"/>
    </row>
    <row r="81" spans="1:18">
      <c r="A81" s="169"/>
      <c r="B81" s="22">
        <v>42123</v>
      </c>
      <c r="C81" s="1" t="s">
        <v>46</v>
      </c>
      <c r="D81" s="3"/>
      <c r="E81" s="3"/>
      <c r="F81" s="3"/>
      <c r="G81" s="3"/>
      <c r="H81" s="3"/>
      <c r="I81" s="3"/>
      <c r="J81" s="29"/>
      <c r="K81" s="1"/>
      <c r="L81" s="1"/>
      <c r="M81" s="54"/>
    </row>
    <row r="82" spans="1:18" ht="15.75" thickBot="1">
      <c r="A82" s="169"/>
      <c r="B82" s="23">
        <v>42124</v>
      </c>
      <c r="C82" s="1" t="s">
        <v>46</v>
      </c>
      <c r="D82" s="19">
        <v>9</v>
      </c>
      <c r="E82" s="3"/>
      <c r="F82" s="3"/>
      <c r="G82" s="3"/>
      <c r="H82" s="3"/>
      <c r="I82" s="3"/>
      <c r="J82" s="1"/>
      <c r="K82" s="1"/>
      <c r="L82" s="1"/>
      <c r="M82" s="54"/>
    </row>
    <row r="83" spans="1:18" ht="15.75" thickBot="1">
      <c r="A83" s="170"/>
      <c r="B83" s="24" t="s">
        <v>92</v>
      </c>
      <c r="C83" s="20"/>
      <c r="D83" s="21">
        <f>SUM(D53:D82)</f>
        <v>189</v>
      </c>
      <c r="E83"/>
      <c r="F83"/>
      <c r="G83"/>
      <c r="H83"/>
      <c r="I83"/>
    </row>
    <row r="84" spans="1:18" ht="15.75" thickBot="1">
      <c r="A84" s="149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1"/>
    </row>
    <row r="85" spans="1:18">
      <c r="B85"/>
      <c r="D85"/>
      <c r="E85"/>
      <c r="F85"/>
      <c r="G85"/>
      <c r="H85"/>
      <c r="I85"/>
    </row>
    <row r="86" spans="1:18">
      <c r="B86"/>
      <c r="D86"/>
      <c r="E86"/>
      <c r="F86"/>
      <c r="G86"/>
      <c r="H86"/>
      <c r="I86"/>
    </row>
    <row r="87" spans="1:18" ht="15.75" thickBot="1">
      <c r="B87"/>
      <c r="D87"/>
      <c r="E87"/>
      <c r="F87"/>
      <c r="G87"/>
      <c r="H87"/>
      <c r="I87"/>
    </row>
    <row r="88" spans="1:18" ht="15.75" thickBot="1">
      <c r="E88" s="161" t="s">
        <v>110</v>
      </c>
      <c r="F88" s="162"/>
      <c r="G88" s="162"/>
      <c r="H88" s="163"/>
      <c r="I88" s="164" t="s">
        <v>116</v>
      </c>
      <c r="J88" s="165"/>
      <c r="K88" s="165"/>
      <c r="L88" s="166"/>
    </row>
    <row r="89" spans="1:18" ht="15.75" thickBot="1">
      <c r="A89" s="55" t="s">
        <v>91</v>
      </c>
      <c r="B89" s="33" t="s">
        <v>109</v>
      </c>
      <c r="C89" s="34" t="s">
        <v>11</v>
      </c>
      <c r="D89" s="34" t="s">
        <v>10</v>
      </c>
      <c r="E89" s="35" t="s">
        <v>111</v>
      </c>
      <c r="F89" s="36" t="s">
        <v>112</v>
      </c>
      <c r="G89" s="37" t="s">
        <v>113</v>
      </c>
      <c r="H89" s="38" t="s">
        <v>114</v>
      </c>
      <c r="I89" s="35" t="s">
        <v>111</v>
      </c>
      <c r="J89" s="36" t="s">
        <v>112</v>
      </c>
      <c r="K89" s="37" t="s">
        <v>113</v>
      </c>
      <c r="L89" s="38" t="s">
        <v>114</v>
      </c>
      <c r="M89" s="34" t="s">
        <v>115</v>
      </c>
    </row>
    <row r="90" spans="1:18">
      <c r="A90" s="171" t="s">
        <v>61</v>
      </c>
      <c r="B90" s="30">
        <v>42095</v>
      </c>
      <c r="C90" s="18" t="s">
        <v>46</v>
      </c>
      <c r="D90" s="31"/>
      <c r="E90" s="31"/>
      <c r="F90" s="31"/>
      <c r="G90" s="31"/>
      <c r="H90" s="31"/>
      <c r="I90" s="31"/>
      <c r="J90" s="32"/>
      <c r="K90" s="18"/>
      <c r="L90" s="18"/>
      <c r="M90" s="54"/>
    </row>
    <row r="91" spans="1:18">
      <c r="A91" s="171"/>
      <c r="B91" s="22">
        <v>42096</v>
      </c>
      <c r="C91" s="1" t="s">
        <v>46</v>
      </c>
      <c r="D91" s="3">
        <v>9</v>
      </c>
      <c r="E91" s="3"/>
      <c r="F91" s="3"/>
      <c r="G91" s="3"/>
      <c r="H91" s="3"/>
      <c r="I91" s="3"/>
      <c r="J91" s="29"/>
      <c r="K91" s="1"/>
      <c r="L91" s="1"/>
      <c r="M91" s="54"/>
    </row>
    <row r="92" spans="1:18">
      <c r="A92" s="171"/>
      <c r="B92" s="22">
        <v>42097</v>
      </c>
      <c r="C92" s="1" t="s">
        <v>46</v>
      </c>
      <c r="D92" s="3">
        <v>9</v>
      </c>
      <c r="E92" s="3"/>
      <c r="F92" s="3"/>
      <c r="G92" s="3"/>
      <c r="H92" s="3"/>
      <c r="I92" s="3"/>
      <c r="J92" s="29"/>
      <c r="K92" s="1"/>
      <c r="L92" s="1"/>
      <c r="M92" s="54"/>
    </row>
    <row r="93" spans="1:18">
      <c r="A93" s="171"/>
      <c r="B93" s="22">
        <v>42098</v>
      </c>
      <c r="C93" s="1" t="s">
        <v>46</v>
      </c>
      <c r="D93" s="3">
        <v>9</v>
      </c>
      <c r="E93" s="3"/>
      <c r="F93" s="3"/>
      <c r="G93" s="3"/>
      <c r="H93" s="3"/>
      <c r="I93" s="3"/>
      <c r="J93" s="29"/>
      <c r="K93" s="1"/>
      <c r="L93" s="1"/>
      <c r="M93" s="54"/>
    </row>
    <row r="94" spans="1:18">
      <c r="A94" s="171"/>
      <c r="B94" s="22">
        <v>42099</v>
      </c>
      <c r="C94" s="1" t="s">
        <v>46</v>
      </c>
      <c r="D94" s="3">
        <v>9</v>
      </c>
      <c r="E94" s="3"/>
      <c r="F94" s="3"/>
      <c r="G94" s="3"/>
      <c r="H94" s="3"/>
      <c r="I94" s="3"/>
      <c r="J94" s="29"/>
      <c r="K94" s="1"/>
      <c r="L94" s="1"/>
      <c r="M94" s="54"/>
    </row>
    <row r="95" spans="1:18">
      <c r="A95" s="171"/>
      <c r="B95" s="22">
        <v>42100</v>
      </c>
      <c r="C95" s="1" t="s">
        <v>46</v>
      </c>
      <c r="D95" s="3">
        <v>9</v>
      </c>
      <c r="E95" s="3"/>
      <c r="F95" s="3"/>
      <c r="G95" s="3"/>
      <c r="H95" s="3"/>
      <c r="I95" s="3"/>
      <c r="J95" s="29"/>
      <c r="K95" s="1"/>
      <c r="L95" s="1"/>
      <c r="M95" s="54"/>
    </row>
    <row r="96" spans="1:18">
      <c r="A96" s="171"/>
      <c r="B96" s="22">
        <v>42101</v>
      </c>
      <c r="C96" s="1" t="s">
        <v>46</v>
      </c>
      <c r="D96" s="3"/>
      <c r="E96" s="3"/>
      <c r="F96" s="3"/>
      <c r="G96" s="3"/>
      <c r="H96" s="3"/>
      <c r="I96" s="3"/>
      <c r="J96" s="29"/>
      <c r="K96" s="1"/>
      <c r="L96" s="1"/>
      <c r="M96" s="54"/>
    </row>
    <row r="97" spans="1:13">
      <c r="A97" s="171"/>
      <c r="B97" s="22">
        <v>42102</v>
      </c>
      <c r="C97" s="1" t="s">
        <v>46</v>
      </c>
      <c r="D97" s="3"/>
      <c r="E97" s="3"/>
      <c r="F97" s="3"/>
      <c r="G97" s="3"/>
      <c r="H97" s="3"/>
      <c r="I97" s="3"/>
      <c r="J97" s="29"/>
      <c r="K97" s="1"/>
      <c r="L97" s="1"/>
      <c r="M97" s="54"/>
    </row>
    <row r="98" spans="1:13">
      <c r="A98" s="171"/>
      <c r="B98" s="22">
        <v>42103</v>
      </c>
      <c r="C98" s="1" t="s">
        <v>46</v>
      </c>
      <c r="D98" s="3">
        <v>9</v>
      </c>
      <c r="E98" s="3"/>
      <c r="F98" s="3"/>
      <c r="G98" s="3"/>
      <c r="H98" s="3"/>
      <c r="I98" s="3"/>
      <c r="J98" s="29"/>
      <c r="K98" s="1"/>
      <c r="L98" s="1"/>
      <c r="M98" s="54"/>
    </row>
    <row r="99" spans="1:13">
      <c r="A99" s="171"/>
      <c r="B99" s="22">
        <v>42104</v>
      </c>
      <c r="C99" s="1" t="s">
        <v>46</v>
      </c>
      <c r="D99" s="3">
        <v>9</v>
      </c>
      <c r="E99" s="3"/>
      <c r="F99" s="3"/>
      <c r="G99" s="3"/>
      <c r="H99" s="3"/>
      <c r="I99" s="3"/>
      <c r="J99" s="29"/>
      <c r="K99" s="1"/>
      <c r="L99" s="1"/>
      <c r="M99" s="54"/>
    </row>
    <row r="100" spans="1:13">
      <c r="A100" s="171"/>
      <c r="B100" s="22">
        <v>42105</v>
      </c>
      <c r="C100" s="1" t="s">
        <v>46</v>
      </c>
      <c r="D100" s="3">
        <v>9</v>
      </c>
      <c r="E100" s="3"/>
      <c r="F100" s="3"/>
      <c r="G100" s="3"/>
      <c r="H100" s="3"/>
      <c r="I100" s="3"/>
      <c r="J100" s="29"/>
      <c r="K100" s="1"/>
      <c r="L100" s="1"/>
      <c r="M100" s="54"/>
    </row>
    <row r="101" spans="1:13">
      <c r="A101" s="171"/>
      <c r="B101" s="22">
        <v>42106</v>
      </c>
      <c r="C101" s="1" t="s">
        <v>46</v>
      </c>
      <c r="D101" s="3">
        <v>9</v>
      </c>
      <c r="E101" s="3"/>
      <c r="F101" s="3"/>
      <c r="G101" s="3"/>
      <c r="H101" s="3"/>
      <c r="I101" s="3"/>
      <c r="J101" s="29"/>
      <c r="K101" s="1"/>
      <c r="L101" s="1"/>
      <c r="M101" s="54"/>
    </row>
    <row r="102" spans="1:13">
      <c r="A102" s="171"/>
      <c r="B102" s="22">
        <v>42107</v>
      </c>
      <c r="C102" s="1" t="s">
        <v>46</v>
      </c>
      <c r="D102" s="3">
        <v>9</v>
      </c>
      <c r="E102" s="3"/>
      <c r="F102" s="3"/>
      <c r="G102" s="3"/>
      <c r="H102" s="3"/>
      <c r="I102" s="3"/>
      <c r="J102" s="29"/>
      <c r="K102" s="1"/>
      <c r="L102" s="1"/>
      <c r="M102" s="54"/>
    </row>
    <row r="103" spans="1:13">
      <c r="A103" s="171"/>
      <c r="B103" s="22">
        <v>42108</v>
      </c>
      <c r="C103" s="1" t="s">
        <v>46</v>
      </c>
      <c r="D103" s="3"/>
      <c r="E103" s="3"/>
      <c r="F103" s="3"/>
      <c r="G103" s="3"/>
      <c r="H103" s="3"/>
      <c r="I103" s="3"/>
      <c r="J103" s="29"/>
      <c r="K103" s="1"/>
      <c r="L103" s="1"/>
      <c r="M103" s="54"/>
    </row>
    <row r="104" spans="1:13">
      <c r="A104" s="171"/>
      <c r="B104" s="22">
        <v>42109</v>
      </c>
      <c r="C104" s="1" t="s">
        <v>46</v>
      </c>
      <c r="D104" s="3"/>
      <c r="E104" s="3"/>
      <c r="F104" s="3"/>
      <c r="G104" s="3"/>
      <c r="H104" s="3"/>
      <c r="I104" s="3"/>
      <c r="J104" s="29"/>
      <c r="K104" s="1"/>
      <c r="L104" s="1"/>
      <c r="M104" s="54"/>
    </row>
    <row r="105" spans="1:13">
      <c r="A105" s="171"/>
      <c r="B105" s="22">
        <v>42110</v>
      </c>
      <c r="C105" s="1" t="s">
        <v>46</v>
      </c>
      <c r="D105" s="3">
        <v>9</v>
      </c>
      <c r="E105" s="3"/>
      <c r="F105" s="3"/>
      <c r="G105" s="3"/>
      <c r="H105" s="3"/>
      <c r="I105" s="3"/>
      <c r="J105" s="29"/>
      <c r="K105" s="1"/>
      <c r="L105" s="1"/>
      <c r="M105" s="54"/>
    </row>
    <row r="106" spans="1:13">
      <c r="A106" s="171"/>
      <c r="B106" s="22">
        <v>42111</v>
      </c>
      <c r="C106" s="1" t="s">
        <v>46</v>
      </c>
      <c r="D106" s="3">
        <v>9</v>
      </c>
      <c r="E106" s="3"/>
      <c r="F106" s="3"/>
      <c r="G106" s="3"/>
      <c r="H106" s="3"/>
      <c r="I106" s="3"/>
      <c r="J106" s="29"/>
      <c r="K106" s="1"/>
      <c r="L106" s="1"/>
      <c r="M106" s="54"/>
    </row>
    <row r="107" spans="1:13">
      <c r="A107" s="171"/>
      <c r="B107" s="22">
        <v>42112</v>
      </c>
      <c r="C107" s="1" t="s">
        <v>46</v>
      </c>
      <c r="D107" s="3">
        <v>9</v>
      </c>
      <c r="E107" s="3"/>
      <c r="F107" s="3"/>
      <c r="G107" s="3"/>
      <c r="H107" s="3"/>
      <c r="I107" s="3"/>
      <c r="J107" s="29"/>
      <c r="K107" s="1"/>
      <c r="L107" s="1"/>
      <c r="M107" s="54"/>
    </row>
    <row r="108" spans="1:13">
      <c r="A108" s="171"/>
      <c r="B108" s="22">
        <v>42113</v>
      </c>
      <c r="C108" s="1" t="s">
        <v>46</v>
      </c>
      <c r="D108" s="3">
        <v>9</v>
      </c>
      <c r="E108" s="3"/>
      <c r="F108" s="3"/>
      <c r="G108" s="3"/>
      <c r="H108" s="3"/>
      <c r="I108" s="3"/>
      <c r="J108" s="29"/>
      <c r="K108" s="1"/>
      <c r="L108" s="1"/>
      <c r="M108" s="54"/>
    </row>
    <row r="109" spans="1:13">
      <c r="A109" s="171"/>
      <c r="B109" s="22">
        <v>42114</v>
      </c>
      <c r="C109" s="1" t="s">
        <v>46</v>
      </c>
      <c r="D109" s="3">
        <v>9</v>
      </c>
      <c r="E109" s="3"/>
      <c r="F109" s="3"/>
      <c r="G109" s="3"/>
      <c r="H109" s="3"/>
      <c r="I109" s="3"/>
      <c r="J109" s="29"/>
      <c r="K109" s="1"/>
      <c r="L109" s="1"/>
      <c r="M109" s="54"/>
    </row>
    <row r="110" spans="1:13">
      <c r="A110" s="171"/>
      <c r="B110" s="22">
        <v>42115</v>
      </c>
      <c r="C110" s="1" t="s">
        <v>46</v>
      </c>
      <c r="D110" s="3"/>
      <c r="E110" s="3"/>
      <c r="F110" s="3"/>
      <c r="G110" s="3"/>
      <c r="H110" s="3"/>
      <c r="I110" s="3"/>
      <c r="J110" s="29"/>
      <c r="K110" s="1"/>
      <c r="L110" s="1"/>
      <c r="M110" s="54"/>
    </row>
    <row r="111" spans="1:13">
      <c r="A111" s="171"/>
      <c r="B111" s="22">
        <v>42116</v>
      </c>
      <c r="C111" s="1" t="s">
        <v>46</v>
      </c>
      <c r="D111" s="3"/>
      <c r="E111" s="3"/>
      <c r="F111" s="3"/>
      <c r="G111" s="3"/>
      <c r="H111" s="3"/>
      <c r="I111" s="3"/>
      <c r="J111" s="29"/>
      <c r="K111" s="1"/>
      <c r="L111" s="1"/>
      <c r="M111" s="54"/>
    </row>
    <row r="112" spans="1:13">
      <c r="A112" s="171"/>
      <c r="B112" s="22">
        <v>42117</v>
      </c>
      <c r="C112" s="1" t="s">
        <v>46</v>
      </c>
      <c r="D112" s="3">
        <v>9</v>
      </c>
      <c r="E112" s="3"/>
      <c r="F112" s="3"/>
      <c r="G112" s="3"/>
      <c r="H112" s="3"/>
      <c r="I112" s="3"/>
      <c r="J112" s="29"/>
      <c r="K112" s="1"/>
      <c r="L112" s="1"/>
      <c r="M112" s="54"/>
    </row>
    <row r="113" spans="1:18">
      <c r="A113" s="171"/>
      <c r="B113" s="22">
        <v>42118</v>
      </c>
      <c r="C113" s="1" t="s">
        <v>46</v>
      </c>
      <c r="D113" s="3">
        <v>9</v>
      </c>
      <c r="E113" s="3"/>
      <c r="F113" s="3"/>
      <c r="G113" s="3"/>
      <c r="H113" s="3"/>
      <c r="I113" s="3"/>
      <c r="J113" s="29"/>
      <c r="K113" s="1"/>
      <c r="L113" s="1"/>
      <c r="M113" s="54"/>
    </row>
    <row r="114" spans="1:18">
      <c r="A114" s="171"/>
      <c r="B114" s="22">
        <v>42119</v>
      </c>
      <c r="C114" s="1" t="s">
        <v>46</v>
      </c>
      <c r="D114" s="3">
        <v>9</v>
      </c>
      <c r="E114" s="3"/>
      <c r="F114" s="3"/>
      <c r="G114" s="3"/>
      <c r="H114" s="3"/>
      <c r="I114" s="3"/>
      <c r="J114" s="29"/>
      <c r="K114" s="1"/>
      <c r="L114" s="1"/>
      <c r="M114" s="54"/>
    </row>
    <row r="115" spans="1:18">
      <c r="A115" s="171"/>
      <c r="B115" s="22">
        <v>42120</v>
      </c>
      <c r="C115" s="1" t="s">
        <v>46</v>
      </c>
      <c r="D115" s="3">
        <v>9</v>
      </c>
      <c r="E115" s="3"/>
      <c r="F115" s="3"/>
      <c r="G115" s="3"/>
      <c r="H115" s="3"/>
      <c r="I115" s="3"/>
      <c r="J115" s="29"/>
      <c r="K115" s="1"/>
      <c r="L115" s="1"/>
      <c r="M115" s="54"/>
    </row>
    <row r="116" spans="1:18">
      <c r="A116" s="171"/>
      <c r="B116" s="22">
        <v>42121</v>
      </c>
      <c r="C116" s="1" t="s">
        <v>46</v>
      </c>
      <c r="D116" s="3">
        <v>9</v>
      </c>
      <c r="E116" s="3"/>
      <c r="F116" s="3"/>
      <c r="G116" s="3"/>
      <c r="H116" s="3"/>
      <c r="I116" s="3"/>
      <c r="J116" s="29"/>
      <c r="K116" s="1"/>
      <c r="L116" s="1"/>
      <c r="M116" s="54"/>
    </row>
    <row r="117" spans="1:18">
      <c r="A117" s="171"/>
      <c r="B117" s="22">
        <v>42122</v>
      </c>
      <c r="C117" s="1" t="s">
        <v>46</v>
      </c>
      <c r="D117" s="3"/>
      <c r="E117" s="3"/>
      <c r="F117" s="3"/>
      <c r="G117" s="3"/>
      <c r="H117" s="3"/>
      <c r="I117" s="3"/>
      <c r="J117" s="29"/>
      <c r="K117" s="1"/>
      <c r="L117" s="1"/>
      <c r="M117" s="54"/>
    </row>
    <row r="118" spans="1:18">
      <c r="A118" s="171"/>
      <c r="B118" s="22">
        <v>42123</v>
      </c>
      <c r="C118" s="1" t="s">
        <v>46</v>
      </c>
      <c r="D118" s="3"/>
      <c r="E118" s="3"/>
      <c r="F118" s="3"/>
      <c r="G118" s="3"/>
      <c r="H118" s="3"/>
      <c r="I118" s="3"/>
      <c r="J118" s="29"/>
      <c r="K118" s="1"/>
      <c r="L118" s="1"/>
      <c r="M118" s="54"/>
    </row>
    <row r="119" spans="1:18" ht="15.75" thickBot="1">
      <c r="A119" s="171"/>
      <c r="B119" s="23">
        <v>42124</v>
      </c>
      <c r="C119" s="1" t="s">
        <v>46</v>
      </c>
      <c r="D119" s="19">
        <v>9</v>
      </c>
      <c r="E119" s="3"/>
      <c r="F119" s="3"/>
      <c r="G119" s="3"/>
      <c r="H119" s="3"/>
      <c r="I119" s="3"/>
      <c r="J119" s="1"/>
      <c r="K119" s="1"/>
      <c r="L119" s="1"/>
      <c r="M119" s="54"/>
    </row>
    <row r="120" spans="1:18" ht="15.75" thickBot="1">
      <c r="A120" s="171"/>
      <c r="B120" s="24" t="s">
        <v>92</v>
      </c>
      <c r="C120" s="20"/>
      <c r="D120" s="21">
        <f>SUM(D90:D119)</f>
        <v>189</v>
      </c>
      <c r="E120"/>
      <c r="F120"/>
      <c r="G120"/>
      <c r="H120"/>
      <c r="I120"/>
    </row>
    <row r="121" spans="1:18" ht="15.75" thickBot="1">
      <c r="A121" s="149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1"/>
    </row>
    <row r="122" spans="1:18">
      <c r="B122"/>
      <c r="D122"/>
      <c r="E122"/>
      <c r="F122"/>
      <c r="G122"/>
      <c r="H122"/>
      <c r="I122"/>
    </row>
    <row r="123" spans="1:18">
      <c r="B123"/>
      <c r="D123"/>
      <c r="E123"/>
      <c r="F123"/>
      <c r="G123"/>
      <c r="H123"/>
      <c r="I123"/>
    </row>
    <row r="124" spans="1:18">
      <c r="B124"/>
      <c r="D124"/>
      <c r="E124"/>
      <c r="F124"/>
      <c r="G124"/>
      <c r="H124"/>
      <c r="I124"/>
    </row>
    <row r="125" spans="1:18" ht="15.75" thickBot="1">
      <c r="B125"/>
      <c r="D125"/>
      <c r="E125"/>
      <c r="F125"/>
      <c r="G125"/>
      <c r="H125"/>
      <c r="I125"/>
    </row>
    <row r="126" spans="1:18" ht="15.75" thickBot="1">
      <c r="E126" s="161" t="s">
        <v>110</v>
      </c>
      <c r="F126" s="162"/>
      <c r="G126" s="162"/>
      <c r="H126" s="163"/>
      <c r="I126" s="164" t="s">
        <v>116</v>
      </c>
      <c r="J126" s="165"/>
      <c r="K126" s="165"/>
      <c r="L126" s="166"/>
    </row>
    <row r="127" spans="1:18" ht="15.75" thickBot="1">
      <c r="A127" s="55" t="s">
        <v>91</v>
      </c>
      <c r="B127" s="33" t="s">
        <v>109</v>
      </c>
      <c r="C127" s="34" t="s">
        <v>11</v>
      </c>
      <c r="D127" s="34" t="s">
        <v>10</v>
      </c>
      <c r="E127" s="35" t="s">
        <v>111</v>
      </c>
      <c r="F127" s="36" t="s">
        <v>112</v>
      </c>
      <c r="G127" s="37" t="s">
        <v>113</v>
      </c>
      <c r="H127" s="38" t="s">
        <v>114</v>
      </c>
      <c r="I127" s="35" t="s">
        <v>111</v>
      </c>
      <c r="J127" s="36" t="s">
        <v>112</v>
      </c>
      <c r="K127" s="37" t="s">
        <v>113</v>
      </c>
      <c r="L127" s="38" t="s">
        <v>114</v>
      </c>
      <c r="M127" s="34" t="s">
        <v>115</v>
      </c>
    </row>
    <row r="128" spans="1:18">
      <c r="A128" s="158" t="s">
        <v>62</v>
      </c>
      <c r="B128" s="30">
        <v>42095</v>
      </c>
      <c r="C128" s="18" t="s">
        <v>46</v>
      </c>
      <c r="D128" s="31"/>
      <c r="E128" s="31"/>
      <c r="F128" s="31"/>
      <c r="G128" s="31"/>
      <c r="H128" s="31"/>
      <c r="I128" s="31"/>
      <c r="J128" s="32"/>
      <c r="K128" s="18"/>
      <c r="L128" s="18"/>
      <c r="M128" s="54"/>
    </row>
    <row r="129" spans="1:13">
      <c r="A129" s="159"/>
      <c r="B129" s="22">
        <v>42096</v>
      </c>
      <c r="C129" s="1" t="s">
        <v>46</v>
      </c>
      <c r="D129" s="3">
        <v>9</v>
      </c>
      <c r="E129" s="3"/>
      <c r="F129" s="3"/>
      <c r="G129" s="3"/>
      <c r="H129" s="3"/>
      <c r="I129" s="3"/>
      <c r="J129" s="29"/>
      <c r="K129" s="1"/>
      <c r="L129" s="1"/>
      <c r="M129" s="54"/>
    </row>
    <row r="130" spans="1:13">
      <c r="A130" s="159"/>
      <c r="B130" s="22">
        <v>42097</v>
      </c>
      <c r="C130" s="1" t="s">
        <v>46</v>
      </c>
      <c r="D130" s="3">
        <v>9</v>
      </c>
      <c r="E130" s="3"/>
      <c r="F130" s="3"/>
      <c r="G130" s="3"/>
      <c r="H130" s="3"/>
      <c r="I130" s="3"/>
      <c r="J130" s="29"/>
      <c r="K130" s="1"/>
      <c r="L130" s="1"/>
      <c r="M130" s="54"/>
    </row>
    <row r="131" spans="1:13">
      <c r="A131" s="159"/>
      <c r="B131" s="22">
        <v>42098</v>
      </c>
      <c r="C131" s="1" t="s">
        <v>46</v>
      </c>
      <c r="D131" s="3">
        <v>9</v>
      </c>
      <c r="E131" s="3"/>
      <c r="F131" s="3"/>
      <c r="G131" s="3"/>
      <c r="H131" s="3"/>
      <c r="I131" s="3"/>
      <c r="J131" s="29"/>
      <c r="K131" s="1"/>
      <c r="L131" s="1"/>
      <c r="M131" s="54"/>
    </row>
    <row r="132" spans="1:13">
      <c r="A132" s="159"/>
      <c r="B132" s="22">
        <v>42099</v>
      </c>
      <c r="C132" s="1" t="s">
        <v>46</v>
      </c>
      <c r="D132" s="3">
        <v>9</v>
      </c>
      <c r="E132" s="3"/>
      <c r="F132" s="3"/>
      <c r="G132" s="3"/>
      <c r="H132" s="3"/>
      <c r="I132" s="3"/>
      <c r="J132" s="29"/>
      <c r="K132" s="1"/>
      <c r="L132" s="1"/>
      <c r="M132" s="54"/>
    </row>
    <row r="133" spans="1:13">
      <c r="A133" s="159"/>
      <c r="B133" s="22">
        <v>42100</v>
      </c>
      <c r="C133" s="1" t="s">
        <v>46</v>
      </c>
      <c r="D133" s="3">
        <v>9</v>
      </c>
      <c r="E133" s="3"/>
      <c r="F133" s="3"/>
      <c r="G133" s="3"/>
      <c r="H133" s="3"/>
      <c r="I133" s="3"/>
      <c r="J133" s="29"/>
      <c r="K133" s="1"/>
      <c r="L133" s="1"/>
      <c r="M133" s="54"/>
    </row>
    <row r="134" spans="1:13">
      <c r="A134" s="159"/>
      <c r="B134" s="22">
        <v>42101</v>
      </c>
      <c r="C134" s="1" t="s">
        <v>46</v>
      </c>
      <c r="D134" s="3"/>
      <c r="E134" s="3"/>
      <c r="F134" s="3"/>
      <c r="G134" s="3"/>
      <c r="H134" s="3"/>
      <c r="I134" s="3"/>
      <c r="J134" s="29"/>
      <c r="K134" s="1"/>
      <c r="L134" s="1"/>
      <c r="M134" s="54"/>
    </row>
    <row r="135" spans="1:13">
      <c r="A135" s="159"/>
      <c r="B135" s="22">
        <v>42102</v>
      </c>
      <c r="C135" s="1" t="s">
        <v>46</v>
      </c>
      <c r="D135" s="3"/>
      <c r="E135" s="3"/>
      <c r="F135" s="3"/>
      <c r="G135" s="3"/>
      <c r="H135" s="3"/>
      <c r="I135" s="3"/>
      <c r="J135" s="29"/>
      <c r="K135" s="1"/>
      <c r="L135" s="1"/>
      <c r="M135" s="54"/>
    </row>
    <row r="136" spans="1:13">
      <c r="A136" s="159"/>
      <c r="B136" s="22">
        <v>42103</v>
      </c>
      <c r="C136" s="1" t="s">
        <v>46</v>
      </c>
      <c r="D136" s="3">
        <v>9</v>
      </c>
      <c r="E136" s="3"/>
      <c r="F136" s="3"/>
      <c r="G136" s="3"/>
      <c r="H136" s="3"/>
      <c r="I136" s="3"/>
      <c r="J136" s="29"/>
      <c r="K136" s="1"/>
      <c r="L136" s="1"/>
      <c r="M136" s="54"/>
    </row>
    <row r="137" spans="1:13">
      <c r="A137" s="159"/>
      <c r="B137" s="22">
        <v>42104</v>
      </c>
      <c r="C137" s="1" t="s">
        <v>46</v>
      </c>
      <c r="D137" s="3">
        <v>9</v>
      </c>
      <c r="E137" s="3"/>
      <c r="F137" s="3"/>
      <c r="G137" s="3"/>
      <c r="H137" s="3"/>
      <c r="I137" s="3"/>
      <c r="J137" s="29"/>
      <c r="K137" s="1"/>
      <c r="L137" s="1"/>
      <c r="M137" s="54"/>
    </row>
    <row r="138" spans="1:13">
      <c r="A138" s="159"/>
      <c r="B138" s="22">
        <v>42105</v>
      </c>
      <c r="C138" s="1" t="s">
        <v>46</v>
      </c>
      <c r="D138" s="3">
        <v>9</v>
      </c>
      <c r="E138" s="3"/>
      <c r="F138" s="3"/>
      <c r="G138" s="3"/>
      <c r="H138" s="3"/>
      <c r="I138" s="3"/>
      <c r="J138" s="29"/>
      <c r="K138" s="1"/>
      <c r="L138" s="1"/>
      <c r="M138" s="54"/>
    </row>
    <row r="139" spans="1:13">
      <c r="A139" s="159"/>
      <c r="B139" s="22">
        <v>42106</v>
      </c>
      <c r="C139" s="1" t="s">
        <v>46</v>
      </c>
      <c r="D139" s="3">
        <v>9</v>
      </c>
      <c r="E139" s="3"/>
      <c r="F139" s="3"/>
      <c r="G139" s="3"/>
      <c r="H139" s="3"/>
      <c r="I139" s="3"/>
      <c r="J139" s="29"/>
      <c r="K139" s="1"/>
      <c r="L139" s="1"/>
      <c r="M139" s="54"/>
    </row>
    <row r="140" spans="1:13">
      <c r="A140" s="159"/>
      <c r="B140" s="22">
        <v>42107</v>
      </c>
      <c r="C140" s="1" t="s">
        <v>46</v>
      </c>
      <c r="D140" s="3">
        <v>9</v>
      </c>
      <c r="E140" s="3"/>
      <c r="F140" s="3"/>
      <c r="G140" s="3"/>
      <c r="H140" s="3"/>
      <c r="I140" s="3"/>
      <c r="J140" s="29"/>
      <c r="K140" s="1"/>
      <c r="L140" s="1"/>
      <c r="M140" s="54"/>
    </row>
    <row r="141" spans="1:13">
      <c r="A141" s="159"/>
      <c r="B141" s="22">
        <v>42108</v>
      </c>
      <c r="C141" s="1" t="s">
        <v>46</v>
      </c>
      <c r="D141" s="3"/>
      <c r="E141" s="3"/>
      <c r="F141" s="3"/>
      <c r="G141" s="3"/>
      <c r="H141" s="3"/>
      <c r="I141" s="3"/>
      <c r="J141" s="29"/>
      <c r="K141" s="1"/>
      <c r="L141" s="1"/>
      <c r="M141" s="54"/>
    </row>
    <row r="142" spans="1:13">
      <c r="A142" s="159"/>
      <c r="B142" s="22">
        <v>42109</v>
      </c>
      <c r="C142" s="1" t="s">
        <v>46</v>
      </c>
      <c r="D142" s="3"/>
      <c r="E142" s="3"/>
      <c r="F142" s="3"/>
      <c r="G142" s="3"/>
      <c r="H142" s="3"/>
      <c r="I142" s="3"/>
      <c r="J142" s="29"/>
      <c r="K142" s="1"/>
      <c r="L142" s="1"/>
      <c r="M142" s="54"/>
    </row>
    <row r="143" spans="1:13">
      <c r="A143" s="159"/>
      <c r="B143" s="22">
        <v>42110</v>
      </c>
      <c r="C143" s="1" t="s">
        <v>46</v>
      </c>
      <c r="D143" s="3">
        <v>9</v>
      </c>
      <c r="E143" s="3"/>
      <c r="F143" s="3"/>
      <c r="G143" s="3"/>
      <c r="H143" s="3"/>
      <c r="I143" s="3"/>
      <c r="J143" s="29"/>
      <c r="K143" s="1"/>
      <c r="L143" s="1"/>
      <c r="M143" s="54"/>
    </row>
    <row r="144" spans="1:13">
      <c r="A144" s="159"/>
      <c r="B144" s="22">
        <v>42111</v>
      </c>
      <c r="C144" s="1" t="s">
        <v>46</v>
      </c>
      <c r="D144" s="3">
        <v>9</v>
      </c>
      <c r="E144" s="3"/>
      <c r="F144" s="3"/>
      <c r="G144" s="3"/>
      <c r="H144" s="3"/>
      <c r="I144" s="3"/>
      <c r="J144" s="29"/>
      <c r="K144" s="1"/>
      <c r="L144" s="1"/>
      <c r="M144" s="54"/>
    </row>
    <row r="145" spans="1:18">
      <c r="A145" s="159"/>
      <c r="B145" s="22">
        <v>42112</v>
      </c>
      <c r="C145" s="1" t="s">
        <v>46</v>
      </c>
      <c r="D145" s="3">
        <v>9</v>
      </c>
      <c r="E145" s="3"/>
      <c r="F145" s="3"/>
      <c r="G145" s="3"/>
      <c r="H145" s="3"/>
      <c r="I145" s="3"/>
      <c r="J145" s="29"/>
      <c r="K145" s="1"/>
      <c r="L145" s="1"/>
      <c r="M145" s="54"/>
    </row>
    <row r="146" spans="1:18">
      <c r="A146" s="159"/>
      <c r="B146" s="22">
        <v>42113</v>
      </c>
      <c r="C146" s="1" t="s">
        <v>46</v>
      </c>
      <c r="D146" s="3">
        <v>9</v>
      </c>
      <c r="E146" s="3"/>
      <c r="F146" s="3"/>
      <c r="G146" s="3"/>
      <c r="H146" s="3"/>
      <c r="I146" s="3"/>
      <c r="J146" s="29"/>
      <c r="K146" s="1"/>
      <c r="L146" s="1"/>
      <c r="M146" s="54"/>
    </row>
    <row r="147" spans="1:18">
      <c r="A147" s="159"/>
      <c r="B147" s="22">
        <v>42114</v>
      </c>
      <c r="C147" s="1" t="s">
        <v>46</v>
      </c>
      <c r="D147" s="3">
        <v>9</v>
      </c>
      <c r="E147" s="3"/>
      <c r="F147" s="3"/>
      <c r="G147" s="3"/>
      <c r="H147" s="3"/>
      <c r="I147" s="3"/>
      <c r="J147" s="29"/>
      <c r="K147" s="1"/>
      <c r="L147" s="1"/>
      <c r="M147" s="54"/>
    </row>
    <row r="148" spans="1:18">
      <c r="A148" s="159"/>
      <c r="B148" s="22">
        <v>42115</v>
      </c>
      <c r="C148" s="1" t="s">
        <v>46</v>
      </c>
      <c r="D148" s="3"/>
      <c r="E148" s="3"/>
      <c r="F148" s="3"/>
      <c r="G148" s="3"/>
      <c r="H148" s="3"/>
      <c r="I148" s="3"/>
      <c r="J148" s="29"/>
      <c r="K148" s="1"/>
      <c r="L148" s="1"/>
      <c r="M148" s="54"/>
    </row>
    <row r="149" spans="1:18">
      <c r="A149" s="159"/>
      <c r="B149" s="22">
        <v>42116</v>
      </c>
      <c r="C149" s="1" t="s">
        <v>46</v>
      </c>
      <c r="D149" s="3"/>
      <c r="E149" s="3"/>
      <c r="F149" s="3"/>
      <c r="G149" s="3"/>
      <c r="H149" s="3"/>
      <c r="I149" s="3"/>
      <c r="J149" s="29"/>
      <c r="K149" s="1"/>
      <c r="L149" s="1"/>
      <c r="M149" s="54"/>
    </row>
    <row r="150" spans="1:18">
      <c r="A150" s="159"/>
      <c r="B150" s="22">
        <v>42117</v>
      </c>
      <c r="C150" s="1" t="s">
        <v>46</v>
      </c>
      <c r="D150" s="3">
        <v>9</v>
      </c>
      <c r="E150" s="3"/>
      <c r="F150" s="3"/>
      <c r="G150" s="3"/>
      <c r="H150" s="3"/>
      <c r="I150" s="3"/>
      <c r="J150" s="29"/>
      <c r="K150" s="1"/>
      <c r="L150" s="1"/>
      <c r="M150" s="54"/>
    </row>
    <row r="151" spans="1:18">
      <c r="A151" s="159"/>
      <c r="B151" s="22">
        <v>42118</v>
      </c>
      <c r="C151" s="1" t="s">
        <v>46</v>
      </c>
      <c r="D151" s="3">
        <v>9</v>
      </c>
      <c r="E151" s="3"/>
      <c r="F151" s="3"/>
      <c r="G151" s="3"/>
      <c r="H151" s="3"/>
      <c r="I151" s="3"/>
      <c r="J151" s="29"/>
      <c r="K151" s="1"/>
      <c r="L151" s="1"/>
      <c r="M151" s="54"/>
    </row>
    <row r="152" spans="1:18">
      <c r="A152" s="159"/>
      <c r="B152" s="22">
        <v>42119</v>
      </c>
      <c r="C152" s="1" t="s">
        <v>46</v>
      </c>
      <c r="D152" s="3">
        <v>9</v>
      </c>
      <c r="E152" s="3"/>
      <c r="F152" s="3"/>
      <c r="G152" s="3"/>
      <c r="H152" s="3"/>
      <c r="I152" s="3"/>
      <c r="J152" s="29"/>
      <c r="K152" s="1"/>
      <c r="L152" s="1"/>
      <c r="M152" s="54"/>
    </row>
    <row r="153" spans="1:18">
      <c r="A153" s="159"/>
      <c r="B153" s="22">
        <v>42120</v>
      </c>
      <c r="C153" s="1" t="s">
        <v>46</v>
      </c>
      <c r="D153" s="3">
        <v>9</v>
      </c>
      <c r="E153" s="3"/>
      <c r="F153" s="3"/>
      <c r="G153" s="3"/>
      <c r="H153" s="3"/>
      <c r="I153" s="3"/>
      <c r="J153" s="29"/>
      <c r="K153" s="1"/>
      <c r="L153" s="1"/>
      <c r="M153" s="54"/>
    </row>
    <row r="154" spans="1:18">
      <c r="A154" s="159"/>
      <c r="B154" s="22">
        <v>42121</v>
      </c>
      <c r="C154" s="1" t="s">
        <v>46</v>
      </c>
      <c r="D154" s="3">
        <v>9</v>
      </c>
      <c r="E154" s="3"/>
      <c r="F154" s="3"/>
      <c r="G154" s="3"/>
      <c r="H154" s="3"/>
      <c r="I154" s="3"/>
      <c r="J154" s="29"/>
      <c r="K154" s="1"/>
      <c r="L154" s="1"/>
      <c r="M154" s="54"/>
    </row>
    <row r="155" spans="1:18">
      <c r="A155" s="159"/>
      <c r="B155" s="22">
        <v>42122</v>
      </c>
      <c r="C155" s="1" t="s">
        <v>46</v>
      </c>
      <c r="D155" s="3"/>
      <c r="E155" s="3"/>
      <c r="F155" s="3"/>
      <c r="G155" s="3"/>
      <c r="H155" s="3"/>
      <c r="I155" s="3"/>
      <c r="J155" s="29"/>
      <c r="K155" s="1"/>
      <c r="L155" s="1"/>
      <c r="M155" s="54"/>
    </row>
    <row r="156" spans="1:18">
      <c r="A156" s="159"/>
      <c r="B156" s="22">
        <v>42123</v>
      </c>
      <c r="C156" s="1" t="s">
        <v>46</v>
      </c>
      <c r="D156" s="3"/>
      <c r="E156" s="3"/>
      <c r="F156" s="3"/>
      <c r="G156" s="3"/>
      <c r="H156" s="3"/>
      <c r="I156" s="3"/>
      <c r="J156" s="29"/>
      <c r="K156" s="1"/>
      <c r="L156" s="1"/>
      <c r="M156" s="54"/>
    </row>
    <row r="157" spans="1:18" ht="15.75" thickBot="1">
      <c r="A157" s="159"/>
      <c r="B157" s="23">
        <v>42124</v>
      </c>
      <c r="C157" s="1" t="s">
        <v>46</v>
      </c>
      <c r="D157" s="19">
        <v>9</v>
      </c>
      <c r="E157" s="3"/>
      <c r="F157" s="3"/>
      <c r="G157" s="3"/>
      <c r="H157" s="3"/>
      <c r="I157" s="3"/>
      <c r="J157" s="1"/>
      <c r="K157" s="1"/>
      <c r="L157" s="1"/>
      <c r="M157" s="54"/>
    </row>
    <row r="158" spans="1:18" ht="15.75" thickBot="1">
      <c r="A158" s="160"/>
      <c r="B158" s="24" t="s">
        <v>92</v>
      </c>
      <c r="C158" s="20"/>
      <c r="D158" s="21">
        <f>SUM(D128:D157)</f>
        <v>189</v>
      </c>
      <c r="E158"/>
      <c r="F158"/>
      <c r="G158"/>
      <c r="H158"/>
      <c r="I158"/>
    </row>
    <row r="159" spans="1:18" ht="15.75" thickBot="1">
      <c r="A159" s="149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1"/>
    </row>
    <row r="160" spans="1:18">
      <c r="B160"/>
      <c r="D160"/>
      <c r="E160"/>
      <c r="F160"/>
      <c r="G160"/>
      <c r="H160"/>
      <c r="I160"/>
    </row>
    <row r="161" spans="2:9">
      <c r="B161"/>
      <c r="D161"/>
      <c r="E161"/>
      <c r="F161"/>
      <c r="G161"/>
      <c r="H161"/>
      <c r="I161"/>
    </row>
    <row r="162" spans="2:9">
      <c r="B162"/>
      <c r="D162"/>
      <c r="E162"/>
      <c r="F162"/>
      <c r="G162"/>
      <c r="H162"/>
      <c r="I162"/>
    </row>
  </sheetData>
  <mergeCells count="17">
    <mergeCell ref="A159:R159"/>
    <mergeCell ref="A47:R47"/>
    <mergeCell ref="E51:H51"/>
    <mergeCell ref="I51:L51"/>
    <mergeCell ref="A53:A83"/>
    <mergeCell ref="A84:R84"/>
    <mergeCell ref="E88:H88"/>
    <mergeCell ref="I88:L88"/>
    <mergeCell ref="A90:A120"/>
    <mergeCell ref="A121:R121"/>
    <mergeCell ref="E126:H126"/>
    <mergeCell ref="I126:L126"/>
    <mergeCell ref="A128:A158"/>
    <mergeCell ref="A16:A45"/>
    <mergeCell ref="C1:D1"/>
    <mergeCell ref="E14:H14"/>
    <mergeCell ref="I14:L14"/>
  </mergeCells>
  <conditionalFormatting sqref="C16:C45 C53:C82 C90:C119 C128:C157">
    <cfRule type="cellIs" dxfId="23" priority="1" operator="equal">
      <formula>"Leave"</formula>
    </cfRule>
    <cfRule type="cellIs" dxfId="22" priority="2" operator="equal">
      <formula>"Public Holiday"</formula>
    </cfRule>
  </conditionalFormatting>
  <dataValidations count="1">
    <dataValidation type="list" allowBlank="1" showInputMessage="1" showErrorMessage="1" errorTitle="Task_Error" error="Please select task from dropdown. If you have a new task to be created, please contact Devino Menezes" sqref="C16:C45 C53:C82 C90:C119 C128:C157">
      <formula1>Tasks</formula1>
    </dataValidation>
  </dataValidations>
  <hyperlinks>
    <hyperlink ref="A3" location="BAP!A21" display="Ankit Khambhati"/>
    <hyperlink ref="A4" location="BAP!A58" display="Sreedhar Anneboyena"/>
    <hyperlink ref="A5" location="BAP!A95" display="Abhilash Battu"/>
    <hyperlink ref="A6" location="BAP!A133" display="Arushi Singh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rgb="FFCC0000"/>
  </sheetPr>
  <dimension ref="A1:N24"/>
  <sheetViews>
    <sheetView workbookViewId="0">
      <selection sqref="A1:N1"/>
    </sheetView>
  </sheetViews>
  <sheetFormatPr defaultRowHeight="15"/>
  <cols>
    <col min="2" max="2" width="14" customWidth="1"/>
    <col min="3" max="3" width="10.7109375" customWidth="1"/>
    <col min="5" max="5" width="17" customWidth="1"/>
    <col min="6" max="6" width="15.140625" customWidth="1"/>
    <col min="7" max="7" width="12.85546875" customWidth="1"/>
    <col min="8" max="8" width="18.42578125" customWidth="1"/>
    <col min="9" max="9" width="16.42578125" customWidth="1"/>
    <col min="10" max="10" width="12.7109375" customWidth="1"/>
    <col min="11" max="11" width="13" customWidth="1"/>
    <col min="12" max="12" width="12.85546875" customWidth="1"/>
    <col min="13" max="13" width="14" customWidth="1"/>
    <col min="14" max="14" width="14.5703125" customWidth="1"/>
  </cols>
  <sheetData>
    <row r="1" spans="1:14">
      <c r="A1" s="183" t="s">
        <v>135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5"/>
    </row>
    <row r="2" spans="1:14" ht="67.5">
      <c r="A2" s="121" t="s">
        <v>142</v>
      </c>
      <c r="B2" s="121" t="s">
        <v>143</v>
      </c>
      <c r="C2" s="121" t="s">
        <v>118</v>
      </c>
      <c r="D2" s="121" t="s">
        <v>119</v>
      </c>
      <c r="E2" s="121" t="s">
        <v>144</v>
      </c>
      <c r="F2" s="121" t="s">
        <v>120</v>
      </c>
      <c r="G2" s="121" t="s">
        <v>121</v>
      </c>
      <c r="H2" s="121" t="s">
        <v>122</v>
      </c>
      <c r="I2" s="121" t="s">
        <v>123</v>
      </c>
      <c r="J2" s="121" t="s">
        <v>124</v>
      </c>
      <c r="K2" s="121" t="s">
        <v>125</v>
      </c>
      <c r="L2" s="121" t="s">
        <v>126</v>
      </c>
      <c r="M2" s="121" t="s">
        <v>127</v>
      </c>
      <c r="N2" s="121" t="s">
        <v>145</v>
      </c>
    </row>
    <row r="3" spans="1:14" ht="15" customHeight="1">
      <c r="A3" s="110">
        <v>1</v>
      </c>
      <c r="B3" s="115" t="s">
        <v>146</v>
      </c>
      <c r="C3" s="104">
        <v>42103</v>
      </c>
      <c r="D3" s="104" t="s">
        <v>147</v>
      </c>
      <c r="E3" s="105" t="s">
        <v>148</v>
      </c>
      <c r="F3" s="115" t="s">
        <v>149</v>
      </c>
      <c r="G3" s="107" t="s">
        <v>150</v>
      </c>
      <c r="H3" s="115" t="s">
        <v>151</v>
      </c>
      <c r="I3" s="107" t="s">
        <v>152</v>
      </c>
      <c r="J3" s="107" t="s">
        <v>81</v>
      </c>
      <c r="K3" s="104">
        <v>42124</v>
      </c>
      <c r="L3" s="104">
        <v>42084</v>
      </c>
      <c r="M3" s="108"/>
      <c r="N3" s="109"/>
    </row>
    <row r="4" spans="1:14" ht="15" customHeight="1">
      <c r="A4" s="116">
        <v>2</v>
      </c>
      <c r="B4" s="115" t="s">
        <v>154</v>
      </c>
      <c r="C4" s="104">
        <v>42103</v>
      </c>
      <c r="D4" s="104" t="s">
        <v>128</v>
      </c>
      <c r="E4" s="105" t="s">
        <v>129</v>
      </c>
      <c r="F4" s="106" t="s">
        <v>130</v>
      </c>
      <c r="G4" s="107" t="s">
        <v>131</v>
      </c>
      <c r="H4" s="106" t="s">
        <v>132</v>
      </c>
      <c r="I4" s="110" t="s">
        <v>133</v>
      </c>
      <c r="J4" s="111" t="s">
        <v>153</v>
      </c>
      <c r="K4" s="112">
        <v>42084</v>
      </c>
      <c r="L4" s="112">
        <v>42084</v>
      </c>
      <c r="M4" s="113"/>
      <c r="N4" s="114" t="s">
        <v>134</v>
      </c>
    </row>
    <row r="5" spans="1:14" ht="15" customHeight="1">
      <c r="A5" s="85"/>
      <c r="B5" s="43"/>
      <c r="C5" s="44"/>
      <c r="D5" s="41"/>
      <c r="E5" s="42"/>
      <c r="F5" s="86"/>
      <c r="G5" s="42"/>
      <c r="H5" s="43"/>
      <c r="I5" s="43"/>
      <c r="J5" s="43"/>
      <c r="K5" s="44"/>
      <c r="L5" s="44"/>
      <c r="M5" s="45"/>
      <c r="N5" s="87"/>
    </row>
    <row r="6" spans="1:14" ht="15" customHeight="1">
      <c r="A6" s="85"/>
      <c r="B6" s="43"/>
      <c r="C6" s="44"/>
      <c r="D6" s="41"/>
      <c r="E6" s="42"/>
      <c r="F6" s="86"/>
      <c r="G6" s="42"/>
      <c r="H6" s="43"/>
      <c r="I6" s="43"/>
      <c r="J6" s="43"/>
      <c r="K6" s="44"/>
      <c r="L6" s="44"/>
      <c r="M6" s="45"/>
      <c r="N6" s="87"/>
    </row>
    <row r="7" spans="1:14" ht="12.75" customHeight="1">
      <c r="A7" s="85"/>
      <c r="B7" s="43"/>
      <c r="C7" s="44"/>
      <c r="D7" s="41"/>
      <c r="E7" s="42"/>
      <c r="F7" s="86"/>
      <c r="G7" s="42"/>
      <c r="H7" s="43"/>
      <c r="I7" s="43"/>
      <c r="J7" s="43"/>
      <c r="K7" s="44"/>
      <c r="L7" s="44"/>
      <c r="M7" s="45"/>
      <c r="N7" s="87"/>
    </row>
    <row r="8" spans="1:14">
      <c r="A8" s="85"/>
      <c r="B8" s="43"/>
      <c r="C8" s="44"/>
      <c r="D8" s="41"/>
      <c r="E8" s="42"/>
      <c r="F8" s="86"/>
      <c r="G8" s="42"/>
      <c r="H8" s="43"/>
      <c r="I8" s="43"/>
      <c r="J8" s="43"/>
      <c r="K8" s="44"/>
      <c r="L8" s="44"/>
      <c r="M8" s="45"/>
      <c r="N8" s="87"/>
    </row>
    <row r="9" spans="1:14">
      <c r="A9" s="85"/>
      <c r="B9" s="43"/>
      <c r="C9" s="44"/>
      <c r="D9" s="41"/>
      <c r="E9" s="42"/>
      <c r="F9" s="86"/>
      <c r="G9" s="42"/>
      <c r="H9" s="43"/>
      <c r="I9" s="43"/>
      <c r="J9" s="43"/>
      <c r="K9" s="44"/>
      <c r="L9" s="44"/>
      <c r="M9" s="45"/>
      <c r="N9" s="87"/>
    </row>
    <row r="10" spans="1:14">
      <c r="A10" s="85"/>
      <c r="B10" s="88"/>
      <c r="C10" s="89"/>
      <c r="D10" s="41"/>
      <c r="E10" s="42"/>
      <c r="F10" s="88"/>
      <c r="G10" s="42"/>
      <c r="H10" s="88"/>
      <c r="I10" s="88"/>
      <c r="J10" s="88"/>
      <c r="K10" s="89"/>
      <c r="L10" s="44"/>
      <c r="M10" s="90"/>
      <c r="N10" s="91"/>
    </row>
    <row r="11" spans="1:14">
      <c r="A11" s="85"/>
      <c r="B11" s="86"/>
      <c r="C11" s="92"/>
      <c r="D11" s="41"/>
      <c r="E11" s="42"/>
      <c r="F11" s="86"/>
      <c r="G11" s="42"/>
      <c r="H11" s="86"/>
      <c r="I11" s="86"/>
      <c r="J11" s="86"/>
      <c r="K11" s="92"/>
      <c r="L11" s="92"/>
      <c r="M11" s="93"/>
      <c r="N11" s="94"/>
    </row>
    <row r="12" spans="1:14">
      <c r="A12" s="85"/>
      <c r="B12" s="86"/>
      <c r="C12" s="92"/>
      <c r="D12" s="41"/>
      <c r="E12" s="42"/>
      <c r="F12" s="86"/>
      <c r="G12" s="42"/>
      <c r="H12" s="86"/>
      <c r="I12" s="86"/>
      <c r="J12" s="86"/>
      <c r="K12" s="92"/>
      <c r="L12" s="92"/>
      <c r="M12" s="93"/>
      <c r="N12" s="94"/>
    </row>
    <row r="13" spans="1:14">
      <c r="A13" s="85"/>
      <c r="B13" s="86"/>
      <c r="C13" s="92"/>
      <c r="D13" s="41"/>
      <c r="E13" s="42"/>
      <c r="F13" s="86"/>
      <c r="G13" s="42"/>
      <c r="H13" s="86"/>
      <c r="I13" s="86"/>
      <c r="J13" s="86"/>
      <c r="K13" s="92"/>
      <c r="L13" s="92"/>
      <c r="M13" s="93"/>
      <c r="N13" s="94"/>
    </row>
    <row r="14" spans="1:14">
      <c r="A14" s="85"/>
      <c r="B14" s="86"/>
      <c r="C14" s="92"/>
      <c r="D14" s="41"/>
      <c r="E14" s="42"/>
      <c r="F14" s="86"/>
      <c r="G14" s="42"/>
      <c r="H14" s="86"/>
      <c r="I14" s="86"/>
      <c r="J14" s="86"/>
      <c r="K14" s="92"/>
      <c r="L14" s="92"/>
      <c r="M14" s="93"/>
      <c r="N14" s="94"/>
    </row>
    <row r="15" spans="1:14">
      <c r="A15" s="85"/>
      <c r="B15" s="86"/>
      <c r="C15" s="92"/>
      <c r="D15" s="41"/>
      <c r="E15" s="42"/>
      <c r="F15" s="86"/>
      <c r="G15" s="42"/>
      <c r="H15" s="86"/>
      <c r="I15" s="86"/>
      <c r="J15" s="86"/>
      <c r="K15" s="92"/>
      <c r="L15" s="92"/>
      <c r="M15" s="93"/>
      <c r="N15" s="94"/>
    </row>
    <row r="16" spans="1:14">
      <c r="A16" s="85"/>
      <c r="B16" s="86"/>
      <c r="C16" s="92"/>
      <c r="D16" s="41"/>
      <c r="E16" s="42"/>
      <c r="F16" s="86"/>
      <c r="G16" s="42"/>
      <c r="H16" s="86"/>
      <c r="I16" s="86"/>
      <c r="J16" s="86"/>
      <c r="K16" s="92"/>
      <c r="L16" s="92"/>
      <c r="M16" s="93"/>
      <c r="N16" s="94"/>
    </row>
    <row r="17" spans="1:14">
      <c r="A17" s="85"/>
      <c r="B17" s="86"/>
      <c r="C17" s="92"/>
      <c r="D17" s="41"/>
      <c r="E17" s="42"/>
      <c r="F17" s="86"/>
      <c r="G17" s="42"/>
      <c r="H17" s="86"/>
      <c r="I17" s="86"/>
      <c r="J17" s="86"/>
      <c r="K17" s="92"/>
      <c r="L17" s="92"/>
      <c r="M17" s="93"/>
      <c r="N17" s="94"/>
    </row>
    <row r="18" spans="1:14">
      <c r="A18" s="85"/>
      <c r="B18" s="86"/>
      <c r="C18" s="92"/>
      <c r="D18" s="41"/>
      <c r="E18" s="42"/>
      <c r="F18" s="86"/>
      <c r="G18" s="42"/>
      <c r="H18" s="86"/>
      <c r="I18" s="86"/>
      <c r="J18" s="86"/>
      <c r="K18" s="92"/>
      <c r="L18" s="92"/>
      <c r="M18" s="93"/>
      <c r="N18" s="94"/>
    </row>
    <row r="19" spans="1:14">
      <c r="A19" s="85"/>
      <c r="B19" s="86"/>
      <c r="C19" s="92"/>
      <c r="D19" s="41"/>
      <c r="E19" s="42"/>
      <c r="F19" s="86"/>
      <c r="G19" s="42"/>
      <c r="H19" s="86"/>
      <c r="I19" s="86"/>
      <c r="J19" s="86"/>
      <c r="K19" s="92"/>
      <c r="L19" s="92"/>
      <c r="M19" s="93"/>
      <c r="N19" s="94"/>
    </row>
    <row r="20" spans="1:14">
      <c r="A20" s="85"/>
      <c r="B20" s="86"/>
      <c r="C20" s="92"/>
      <c r="D20" s="41"/>
      <c r="E20" s="42"/>
      <c r="F20" s="86"/>
      <c r="G20" s="42"/>
      <c r="H20" s="86"/>
      <c r="I20" s="86"/>
      <c r="J20" s="86"/>
      <c r="K20" s="92"/>
      <c r="L20" s="92"/>
      <c r="M20" s="93"/>
      <c r="N20" s="94"/>
    </row>
    <row r="21" spans="1:14">
      <c r="A21" s="85"/>
      <c r="B21" s="86"/>
      <c r="C21" s="92"/>
      <c r="D21" s="41"/>
      <c r="E21" s="42"/>
      <c r="F21" s="86"/>
      <c r="G21" s="42"/>
      <c r="H21" s="86"/>
      <c r="I21" s="86"/>
      <c r="J21" s="86"/>
      <c r="K21" s="92"/>
      <c r="L21" s="92"/>
      <c r="M21" s="93"/>
      <c r="N21" s="94"/>
    </row>
    <row r="22" spans="1:14" ht="15.75" thickBot="1">
      <c r="A22" s="95"/>
      <c r="B22" s="96"/>
      <c r="C22" s="97"/>
      <c r="D22" s="98"/>
      <c r="E22" s="99"/>
      <c r="F22" s="96"/>
      <c r="G22" s="99"/>
      <c r="H22" s="96"/>
      <c r="I22" s="96"/>
      <c r="J22" s="96"/>
      <c r="K22" s="97"/>
      <c r="L22" s="97"/>
      <c r="M22" s="100"/>
      <c r="N22" s="101"/>
    </row>
    <row r="23" spans="1:14">
      <c r="A23" s="102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</row>
    <row r="24" spans="1:14">
      <c r="A24" s="103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</row>
  </sheetData>
  <mergeCells count="1">
    <mergeCell ref="A1:N1"/>
  </mergeCells>
  <dataValidations count="8">
    <dataValidation type="list" allowBlank="1" showInputMessage="1" showErrorMessage="1" sqref="E3">
      <formula1>$T$4:$T$13</formula1>
    </dataValidation>
    <dataValidation type="list" allowBlank="1" showInputMessage="1" showErrorMessage="1" sqref="E4:E22">
      <formula1>$T$4:$T$15</formula1>
    </dataValidation>
    <dataValidation type="list" allowBlank="1" showInputMessage="1" showErrorMessage="1" sqref="I3:I22">
      <formula1>"Corrective, Preventative"</formula1>
    </dataValidation>
    <dataValidation allowBlank="1" showErrorMessage="1" sqref="L5:L10 K2:N2"/>
    <dataValidation type="list" allowBlank="1" showInputMessage="1" showErrorMessage="1" sqref="G3:G22">
      <formula1>"Inadequate skill,Understanding,Inadequate Process,Environmental,Human Factor,Inadequate Tools,Inadequate Inputs,Communication,Improper Planning,Infrastructure,Other"</formula1>
    </dataValidation>
    <dataValidation type="list" allowBlank="1" showInputMessage="1" showErrorMessage="1" sqref="D3:D22">
      <formula1>"Process,Product"</formula1>
    </dataValidation>
    <dataValidation type="decimal" allowBlank="1" showInputMessage="1" showErrorMessage="1" sqref="M3:M22">
      <formula1>0</formula1>
      <formula2>100</formula2>
    </dataValidation>
    <dataValidation type="list" allowBlank="1" showErrorMessage="1" sqref="L11">
      <formula1>"Efforts, Schedule, Defect"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>
    <tabColor rgb="FF0000FF"/>
  </sheetPr>
  <dimension ref="A1:AC98"/>
  <sheetViews>
    <sheetView zoomScale="70" zoomScaleNormal="70" workbookViewId="0">
      <selection activeCell="A3" sqref="A3"/>
    </sheetView>
  </sheetViews>
  <sheetFormatPr defaultRowHeight="15"/>
  <cols>
    <col min="1" max="1" width="47" customWidth="1"/>
    <col min="2" max="2" width="15" customWidth="1"/>
    <col min="4" max="4" width="39.140625" customWidth="1"/>
    <col min="5" max="5" width="16.85546875" bestFit="1" customWidth="1"/>
    <col min="7" max="7" width="42.5703125" customWidth="1"/>
    <col min="8" max="8" width="20.5703125" customWidth="1"/>
    <col min="10" max="10" width="36.85546875" customWidth="1"/>
    <col min="11" max="11" width="14.85546875" bestFit="1" customWidth="1"/>
    <col min="13" max="13" width="40.140625" customWidth="1"/>
    <col min="14" max="14" width="15.42578125" customWidth="1"/>
    <col min="16" max="16" width="53.28515625" customWidth="1"/>
    <col min="17" max="17" width="15.28515625" customWidth="1"/>
    <col min="19" max="19" width="45.85546875" customWidth="1"/>
    <col min="20" max="20" width="18" customWidth="1"/>
    <col min="22" max="22" width="52" customWidth="1"/>
    <col min="23" max="23" width="20.85546875" customWidth="1"/>
    <col min="25" max="25" width="27.85546875" bestFit="1" customWidth="1"/>
    <col min="26" max="26" width="22.5703125" customWidth="1"/>
  </cols>
  <sheetData>
    <row r="1" spans="1:29" s="76" customFormat="1" ht="27" thickBot="1">
      <c r="A1" s="74" t="s">
        <v>84</v>
      </c>
      <c r="B1" s="75"/>
      <c r="D1" s="77" t="s">
        <v>139</v>
      </c>
      <c r="E1" s="75"/>
      <c r="G1" s="78" t="s">
        <v>87</v>
      </c>
      <c r="H1" s="75"/>
      <c r="I1" s="75"/>
      <c r="J1" s="79" t="s">
        <v>88</v>
      </c>
      <c r="K1" s="75"/>
      <c r="L1" s="75"/>
      <c r="M1" s="80" t="s">
        <v>89</v>
      </c>
      <c r="N1" s="75"/>
      <c r="P1" s="81" t="s">
        <v>90</v>
      </c>
      <c r="S1" s="82" t="s">
        <v>85</v>
      </c>
      <c r="V1" s="83" t="s">
        <v>86</v>
      </c>
      <c r="Y1" s="189" t="s">
        <v>156</v>
      </c>
      <c r="Z1" s="189"/>
      <c r="AA1" s="122"/>
      <c r="AB1" s="122"/>
      <c r="AC1" s="122"/>
    </row>
    <row r="2" spans="1:29" ht="60.75" thickBot="1">
      <c r="A2" s="73" t="s">
        <v>138</v>
      </c>
      <c r="B2" s="72" t="s">
        <v>140</v>
      </c>
      <c r="D2" s="73" t="s">
        <v>138</v>
      </c>
      <c r="E2" s="72" t="s">
        <v>140</v>
      </c>
      <c r="G2" s="73" t="s">
        <v>138</v>
      </c>
      <c r="H2" s="72" t="s">
        <v>140</v>
      </c>
      <c r="I2" s="17"/>
      <c r="J2" s="73" t="s">
        <v>138</v>
      </c>
      <c r="K2" s="72" t="s">
        <v>140</v>
      </c>
      <c r="L2" s="17"/>
      <c r="M2" s="73" t="s">
        <v>138</v>
      </c>
      <c r="N2" s="72" t="s">
        <v>140</v>
      </c>
      <c r="P2" s="73" t="s">
        <v>138</v>
      </c>
      <c r="Q2" s="72" t="s">
        <v>140</v>
      </c>
      <c r="S2" s="73" t="s">
        <v>138</v>
      </c>
      <c r="T2" s="72" t="s">
        <v>140</v>
      </c>
      <c r="V2" s="73" t="s">
        <v>138</v>
      </c>
      <c r="W2" s="72" t="s">
        <v>140</v>
      </c>
      <c r="Y2" s="134" t="s">
        <v>138</v>
      </c>
      <c r="Z2" s="133" t="s">
        <v>155</v>
      </c>
    </row>
    <row r="3" spans="1:29">
      <c r="A3" s="1" t="s">
        <v>13</v>
      </c>
      <c r="B3" s="3">
        <f>SUMIFS(B2B!$D$1:$D$294,B2B!$C$1:$C$294,'Total Efforts'!A3)</f>
        <v>10</v>
      </c>
      <c r="D3" s="1" t="s">
        <v>13</v>
      </c>
      <c r="E3" s="3">
        <f>SUMIFS(StampsCollectibles!$D$1:$D$295,StampsCollectibles!$C$1:$C$295,'Total Efforts'!D3)</f>
        <v>0</v>
      </c>
      <c r="G3" s="1" t="s">
        <v>13</v>
      </c>
      <c r="H3" s="3">
        <f>SUMIFS(Factory!$D$1:$D$296,Factory!$C$1:$C$296,'Total Efforts'!G3)</f>
        <v>0</v>
      </c>
      <c r="I3" s="17"/>
      <c r="J3" s="1" t="s">
        <v>13</v>
      </c>
      <c r="K3" s="3">
        <f>SUMIFS(Service!$D$1:$D$295,Service!$C$1:$C$295,'Total Efforts'!J3)</f>
        <v>0</v>
      </c>
      <c r="L3" s="17"/>
      <c r="M3" s="1" t="s">
        <v>13</v>
      </c>
      <c r="N3" s="3">
        <f>SUMIFS(Performance!$D$1:$D$295,Performance!$C$1:$C$295,'Total Efforts'!M3)</f>
        <v>0</v>
      </c>
      <c r="P3" s="1" t="s">
        <v>13</v>
      </c>
      <c r="Q3" s="3">
        <f>SUMIFS(Automation!$D$1:$D$331,Automation!$C$1:$C$331,'Total Efforts'!P3)</f>
        <v>0</v>
      </c>
      <c r="S3" s="1" t="s">
        <v>13</v>
      </c>
      <c r="T3" s="3">
        <f>SUMIFS(BAP!$D$1:$D$295,BAP!$C$1:$C$295,'Total Efforts'!S3)</f>
        <v>0</v>
      </c>
      <c r="V3" s="1" t="s">
        <v>13</v>
      </c>
      <c r="W3" s="3">
        <f>SUMIFS(POLS!$D$1:$D$295,POLS!$C$1:$C$295,'Total Efforts'!V3)</f>
        <v>0</v>
      </c>
      <c r="Y3" s="131" t="s">
        <v>13</v>
      </c>
      <c r="Z3" s="132">
        <f>B3+E3+H3+K3+N3+Q3+T3+W3</f>
        <v>10</v>
      </c>
    </row>
    <row r="4" spans="1:29">
      <c r="A4" s="1" t="s">
        <v>46</v>
      </c>
      <c r="B4" s="3">
        <f>SUMIFS(B2B!$D$1:$D$294,B2B!$C$1:$C$294,'Total Efforts'!A4)</f>
        <v>1105</v>
      </c>
      <c r="D4" s="1" t="s">
        <v>46</v>
      </c>
      <c r="E4" s="3">
        <f>SUMIFS(StampsCollectibles!$D$1:$D$295,StampsCollectibles!$C$1:$C$295,'Total Efforts'!D4)</f>
        <v>1312</v>
      </c>
      <c r="G4" s="1" t="s">
        <v>46</v>
      </c>
      <c r="H4" s="3">
        <f>SUMIFS(Factory!$D$1:$D$296,Factory!$C$1:$C$296,'Total Efforts'!G4)</f>
        <v>1445</v>
      </c>
      <c r="I4" s="17"/>
      <c r="J4" s="1" t="s">
        <v>46</v>
      </c>
      <c r="K4" s="3">
        <f>SUMIFS(Service!$D$1:$D$295,Service!$C$1:$C$295,'Total Efforts'!J4)</f>
        <v>567</v>
      </c>
      <c r="L4" s="17"/>
      <c r="M4" s="1" t="s">
        <v>46</v>
      </c>
      <c r="N4" s="3">
        <f>SUMIFS(Performance!$D$1:$D$295,Performance!$C$1:$C$295,'Total Efforts'!M4)</f>
        <v>567</v>
      </c>
      <c r="P4" s="1" t="s">
        <v>46</v>
      </c>
      <c r="Q4" s="3">
        <f>SUMIFS(Automation!$D$1:$D$331,Automation!$C$1:$C$331,'Total Efforts'!P4)</f>
        <v>189</v>
      </c>
      <c r="S4" s="1" t="s">
        <v>46</v>
      </c>
      <c r="T4" s="3">
        <f>SUMIFS(BAP!$D$1:$D$295,BAP!$C$1:$C$295,'Total Efforts'!S4)</f>
        <v>756</v>
      </c>
      <c r="V4" s="1" t="s">
        <v>46</v>
      </c>
      <c r="W4" s="3">
        <f>SUMIFS(POLS!$D$1:$D$295,POLS!$C$1:$C$295,'Total Efforts'!V4)</f>
        <v>369</v>
      </c>
      <c r="Y4" s="126" t="s">
        <v>46</v>
      </c>
      <c r="Z4" s="127">
        <f>B4+E4+H4+K4+N4+Q4+T4+W4</f>
        <v>6310</v>
      </c>
    </row>
    <row r="5" spans="1:29">
      <c r="A5" s="1" t="s">
        <v>33</v>
      </c>
      <c r="B5" s="3">
        <f>SUMIFS(B2B!$D$1:$D$294,B2B!$C$1:$C$294,'Total Efforts'!A5)</f>
        <v>9</v>
      </c>
      <c r="D5" s="1" t="s">
        <v>33</v>
      </c>
      <c r="E5" s="3">
        <f>SUMIFS(StampsCollectibles!$D$1:$D$295,StampsCollectibles!$C$1:$C$295,'Total Efforts'!D5)</f>
        <v>0</v>
      </c>
      <c r="G5" s="1" t="s">
        <v>33</v>
      </c>
      <c r="H5" s="3">
        <f>SUMIFS(Factory!$D$1:$D$296,Factory!$C$1:$C$296,'Total Efforts'!G5)</f>
        <v>0</v>
      </c>
      <c r="I5" s="17"/>
      <c r="J5" s="1" t="s">
        <v>33</v>
      </c>
      <c r="K5" s="3">
        <f>SUMIFS(Service!$D$1:$D$295,Service!$C$1:$C$295,'Total Efforts'!J5)</f>
        <v>0</v>
      </c>
      <c r="L5" s="17"/>
      <c r="M5" s="1" t="s">
        <v>33</v>
      </c>
      <c r="N5" s="3">
        <f>SUMIFS(Performance!$D$1:$D$295,Performance!$C$1:$C$295,'Total Efforts'!M5)</f>
        <v>0</v>
      </c>
      <c r="P5" s="1" t="s">
        <v>33</v>
      </c>
      <c r="Q5" s="3">
        <f>SUMIFS(Automation!$D$1:$D$331,Automation!$C$1:$C$331,'Total Efforts'!P5)</f>
        <v>0</v>
      </c>
      <c r="S5" s="1" t="s">
        <v>33</v>
      </c>
      <c r="T5" s="3">
        <f>SUMIFS(BAP!$D$1:$D$295,BAP!$C$1:$C$295,'Total Efforts'!S5)</f>
        <v>0</v>
      </c>
      <c r="V5" s="1" t="s">
        <v>33</v>
      </c>
      <c r="W5" s="3">
        <f>SUMIFS(POLS!$D$1:$D$295,POLS!$C$1:$C$295,'Total Efforts'!V5)</f>
        <v>0</v>
      </c>
      <c r="Y5" s="126" t="s">
        <v>33</v>
      </c>
      <c r="Z5" s="127">
        <f t="shared" ref="Z5:Z53" si="0">B5+E5+H5+K5+N5+Q5+T5+W5</f>
        <v>9</v>
      </c>
    </row>
    <row r="6" spans="1:29">
      <c r="A6" s="1" t="s">
        <v>4</v>
      </c>
      <c r="B6" s="3">
        <f>SUMIFS(B2B!$D$1:$D$294,B2B!$C$1:$C$294,'Total Efforts'!A6)</f>
        <v>0</v>
      </c>
      <c r="D6" s="1" t="s">
        <v>4</v>
      </c>
      <c r="E6" s="3">
        <f>SUMIFS(StampsCollectibles!$D$1:$D$295,StampsCollectibles!$C$1:$C$295,'Total Efforts'!D6)</f>
        <v>0</v>
      </c>
      <c r="G6" s="1" t="s">
        <v>4</v>
      </c>
      <c r="H6" s="3">
        <f>SUMIFS(Factory!$D$1:$D$296,Factory!$C$1:$C$296,'Total Efforts'!G6)</f>
        <v>0</v>
      </c>
      <c r="I6" s="17"/>
      <c r="J6" s="1" t="s">
        <v>4</v>
      </c>
      <c r="K6" s="3">
        <f>SUMIFS(Service!$D$1:$D$295,Service!$C$1:$C$295,'Total Efforts'!J6)</f>
        <v>0</v>
      </c>
      <c r="L6" s="17"/>
      <c r="M6" s="1" t="s">
        <v>4</v>
      </c>
      <c r="N6" s="3">
        <f>SUMIFS(Performance!$D$1:$D$295,Performance!$C$1:$C$295,'Total Efforts'!M6)</f>
        <v>0</v>
      </c>
      <c r="P6" s="1" t="s">
        <v>4</v>
      </c>
      <c r="Q6" s="3">
        <f>SUMIFS(Automation!$D$1:$D$331,Automation!$C$1:$C$331,'Total Efforts'!P6)</f>
        <v>0</v>
      </c>
      <c r="S6" s="1" t="s">
        <v>4</v>
      </c>
      <c r="T6" s="3">
        <f>SUMIFS(BAP!$D$1:$D$295,BAP!$C$1:$C$295,'Total Efforts'!S6)</f>
        <v>0</v>
      </c>
      <c r="V6" s="1" t="s">
        <v>4</v>
      </c>
      <c r="W6" s="3">
        <f>SUMIFS(POLS!$D$1:$D$295,POLS!$C$1:$C$295,'Total Efforts'!V6)</f>
        <v>0</v>
      </c>
      <c r="Y6" s="126" t="s">
        <v>4</v>
      </c>
      <c r="Z6" s="127">
        <f t="shared" si="0"/>
        <v>0</v>
      </c>
    </row>
    <row r="7" spans="1:29">
      <c r="A7" s="1" t="s">
        <v>3</v>
      </c>
      <c r="B7" s="3">
        <f>SUMIFS(B2B!$D$1:$D$294,B2B!$C$1:$C$294,'Total Efforts'!A7)</f>
        <v>9</v>
      </c>
      <c r="C7" s="17"/>
      <c r="D7" s="1" t="s">
        <v>3</v>
      </c>
      <c r="E7" s="3">
        <f>SUMIFS(StampsCollectibles!$D$1:$D$295,StampsCollectibles!$C$1:$C$295,'Total Efforts'!D7)</f>
        <v>0</v>
      </c>
      <c r="F7" s="17"/>
      <c r="G7" s="1" t="s">
        <v>3</v>
      </c>
      <c r="H7" s="3">
        <f>SUMIFS(Factory!$D$1:$D$296,Factory!$C$1:$C$296,'Total Efforts'!G7)</f>
        <v>0</v>
      </c>
      <c r="I7" s="17"/>
      <c r="J7" s="1" t="s">
        <v>3</v>
      </c>
      <c r="K7" s="3">
        <f>SUMIFS(Service!$D$1:$D$295,Service!$C$1:$C$295,'Total Efforts'!J7)</f>
        <v>0</v>
      </c>
      <c r="L7" s="17"/>
      <c r="M7" s="1" t="s">
        <v>3</v>
      </c>
      <c r="N7" s="3">
        <f>SUMIFS(Performance!$D$1:$D$295,Performance!$C$1:$C$295,'Total Efforts'!M7)</f>
        <v>0</v>
      </c>
      <c r="O7" s="17"/>
      <c r="P7" s="1" t="s">
        <v>3</v>
      </c>
      <c r="Q7" s="3">
        <f>SUMIFS(Automation!$D$1:$D$331,Automation!$C$1:$C$331,'Total Efforts'!P7)</f>
        <v>0</v>
      </c>
      <c r="R7" s="17"/>
      <c r="S7" s="1" t="s">
        <v>3</v>
      </c>
      <c r="T7" s="3">
        <f>SUMIFS(BAP!$D$1:$D$295,BAP!$C$1:$C$295,'Total Efforts'!S7)</f>
        <v>0</v>
      </c>
      <c r="V7" s="1" t="s">
        <v>3</v>
      </c>
      <c r="W7" s="3">
        <f>SUMIFS(POLS!$D$1:$D$295,POLS!$C$1:$C$295,'Total Efforts'!V7)</f>
        <v>0</v>
      </c>
      <c r="Y7" s="126" t="s">
        <v>3</v>
      </c>
      <c r="Z7" s="127">
        <f t="shared" si="0"/>
        <v>9</v>
      </c>
    </row>
    <row r="8" spans="1:29">
      <c r="A8" s="1" t="s">
        <v>16</v>
      </c>
      <c r="B8" s="3">
        <f>SUMIFS(B2B!$D$1:$D$294,B2B!$C$1:$C$294,'Total Efforts'!A8)</f>
        <v>0</v>
      </c>
      <c r="C8" s="17"/>
      <c r="D8" s="1" t="s">
        <v>16</v>
      </c>
      <c r="E8" s="3">
        <f>SUMIFS(StampsCollectibles!$D$1:$D$295,StampsCollectibles!$C$1:$C$295,'Total Efforts'!D8)</f>
        <v>0</v>
      </c>
      <c r="F8" s="17"/>
      <c r="G8" s="1" t="s">
        <v>16</v>
      </c>
      <c r="H8" s="3">
        <f>SUMIFS(Factory!$D$1:$D$296,Factory!$C$1:$C$296,'Total Efforts'!G8)</f>
        <v>0</v>
      </c>
      <c r="I8" s="17"/>
      <c r="J8" s="1" t="s">
        <v>16</v>
      </c>
      <c r="K8" s="3">
        <f>SUMIFS(Service!$D$1:$D$295,Service!$C$1:$C$295,'Total Efforts'!J8)</f>
        <v>0</v>
      </c>
      <c r="L8" s="17"/>
      <c r="M8" s="1" t="s">
        <v>16</v>
      </c>
      <c r="N8" s="3">
        <f>SUMIFS(Performance!$D$1:$D$295,Performance!$C$1:$C$295,'Total Efforts'!M8)</f>
        <v>0</v>
      </c>
      <c r="O8" s="17"/>
      <c r="P8" s="1" t="s">
        <v>16</v>
      </c>
      <c r="Q8" s="3">
        <f>SUMIFS(Automation!$D$1:$D$331,Automation!$C$1:$C$331,'Total Efforts'!P8)</f>
        <v>0</v>
      </c>
      <c r="R8" s="17"/>
      <c r="S8" s="1" t="s">
        <v>16</v>
      </c>
      <c r="T8" s="3">
        <f>SUMIFS(BAP!$D$1:$D$295,BAP!$C$1:$C$295,'Total Efforts'!S8)</f>
        <v>0</v>
      </c>
      <c r="V8" s="1" t="s">
        <v>16</v>
      </c>
      <c r="W8" s="3">
        <f>SUMIFS(POLS!$D$1:$D$295,POLS!$C$1:$C$295,'Total Efforts'!V8)</f>
        <v>0</v>
      </c>
      <c r="Y8" s="126" t="s">
        <v>16</v>
      </c>
      <c r="Z8" s="127">
        <f t="shared" si="0"/>
        <v>0</v>
      </c>
    </row>
    <row r="9" spans="1:29">
      <c r="A9" s="1" t="s">
        <v>15</v>
      </c>
      <c r="B9" s="3">
        <f>SUMIFS(B2B!$D$1:$D$294,B2B!$C$1:$C$294,'Total Efforts'!A9)</f>
        <v>11</v>
      </c>
      <c r="C9" s="17"/>
      <c r="D9" s="1" t="s">
        <v>15</v>
      </c>
      <c r="E9" s="3">
        <f>SUMIFS(StampsCollectibles!$D$1:$D$295,StampsCollectibles!$C$1:$C$295,'Total Efforts'!D9)</f>
        <v>0</v>
      </c>
      <c r="F9" s="17"/>
      <c r="G9" s="1" t="s">
        <v>15</v>
      </c>
      <c r="H9" s="3">
        <f>SUMIFS(Factory!$D$1:$D$296,Factory!$C$1:$C$296,'Total Efforts'!G9)</f>
        <v>0</v>
      </c>
      <c r="I9" s="17"/>
      <c r="J9" s="1" t="s">
        <v>15</v>
      </c>
      <c r="K9" s="3">
        <f>SUMIFS(Service!$D$1:$D$295,Service!$C$1:$C$295,'Total Efforts'!J9)</f>
        <v>0</v>
      </c>
      <c r="L9" s="17"/>
      <c r="M9" s="1" t="s">
        <v>15</v>
      </c>
      <c r="N9" s="3">
        <f>SUMIFS(Performance!$D$1:$D$295,Performance!$C$1:$C$295,'Total Efforts'!M9)</f>
        <v>0</v>
      </c>
      <c r="O9" s="17"/>
      <c r="P9" s="1" t="s">
        <v>15</v>
      </c>
      <c r="Q9" s="3">
        <f>SUMIFS(Automation!$D$1:$D$331,Automation!$C$1:$C$331,'Total Efforts'!P9)</f>
        <v>0</v>
      </c>
      <c r="R9" s="17"/>
      <c r="S9" s="1" t="s">
        <v>15</v>
      </c>
      <c r="T9" s="3">
        <f>SUMIFS(BAP!$D$1:$D$295,BAP!$C$1:$C$295,'Total Efforts'!S9)</f>
        <v>0</v>
      </c>
      <c r="V9" s="1" t="s">
        <v>15</v>
      </c>
      <c r="W9" s="3">
        <f>SUMIFS(POLS!$D$1:$D$295,POLS!$C$1:$C$295,'Total Efforts'!V9)</f>
        <v>0</v>
      </c>
      <c r="Y9" s="126" t="s">
        <v>15</v>
      </c>
      <c r="Z9" s="127">
        <f t="shared" si="0"/>
        <v>11</v>
      </c>
    </row>
    <row r="10" spans="1:29">
      <c r="A10" s="1" t="s">
        <v>30</v>
      </c>
      <c r="B10" s="3">
        <f>SUMIFS(B2B!$D$1:$D$294,B2B!$C$1:$C$294,'Total Efforts'!A10)</f>
        <v>0</v>
      </c>
      <c r="C10" s="17"/>
      <c r="D10" s="1" t="s">
        <v>30</v>
      </c>
      <c r="E10" s="3">
        <f>SUMIFS(StampsCollectibles!$D$1:$D$295,StampsCollectibles!$C$1:$C$295,'Total Efforts'!D10)</f>
        <v>0</v>
      </c>
      <c r="F10" s="17"/>
      <c r="G10" s="1" t="s">
        <v>30</v>
      </c>
      <c r="H10" s="3">
        <f>SUMIFS(Factory!$D$1:$D$296,Factory!$C$1:$C$296,'Total Efforts'!G10)</f>
        <v>0</v>
      </c>
      <c r="I10" s="17"/>
      <c r="J10" s="1" t="s">
        <v>30</v>
      </c>
      <c r="K10" s="3">
        <f>SUMIFS(Service!$D$1:$D$295,Service!$C$1:$C$295,'Total Efforts'!J10)</f>
        <v>0</v>
      </c>
      <c r="L10" s="17"/>
      <c r="M10" s="1" t="s">
        <v>30</v>
      </c>
      <c r="N10" s="3">
        <f>SUMIFS(Performance!$D$1:$D$295,Performance!$C$1:$C$295,'Total Efforts'!M10)</f>
        <v>0</v>
      </c>
      <c r="O10" s="17"/>
      <c r="P10" s="1" t="s">
        <v>30</v>
      </c>
      <c r="Q10" s="3">
        <f>SUMIFS(Automation!$D$1:$D$331,Automation!$C$1:$C$331,'Total Efforts'!P10)</f>
        <v>0</v>
      </c>
      <c r="R10" s="17"/>
      <c r="S10" s="1" t="s">
        <v>30</v>
      </c>
      <c r="T10" s="3">
        <f>SUMIFS(BAP!$D$1:$D$295,BAP!$C$1:$C$295,'Total Efforts'!S10)</f>
        <v>0</v>
      </c>
      <c r="V10" s="1" t="s">
        <v>30</v>
      </c>
      <c r="W10" s="3">
        <f>SUMIFS(POLS!$D$1:$D$295,POLS!$C$1:$C$295,'Total Efforts'!V10)</f>
        <v>0</v>
      </c>
      <c r="Y10" s="126" t="s">
        <v>30</v>
      </c>
      <c r="Z10" s="127">
        <f t="shared" si="0"/>
        <v>0</v>
      </c>
    </row>
    <row r="11" spans="1:29">
      <c r="A11" s="1" t="s">
        <v>105</v>
      </c>
      <c r="B11" s="3">
        <f>SUMIFS(B2B!$D$1:$D$294,B2B!$C$1:$C$294,'Total Efforts'!A11)</f>
        <v>0</v>
      </c>
      <c r="C11" s="17"/>
      <c r="D11" s="1" t="s">
        <v>105</v>
      </c>
      <c r="E11" s="3">
        <f>SUMIFS(StampsCollectibles!$D$1:$D$295,StampsCollectibles!$C$1:$C$295,'Total Efforts'!D11)</f>
        <v>0</v>
      </c>
      <c r="F11" s="17"/>
      <c r="G11" s="1" t="s">
        <v>105</v>
      </c>
      <c r="H11" s="3">
        <f>SUMIFS(Factory!$D$1:$D$296,Factory!$C$1:$C$296,'Total Efforts'!G11)</f>
        <v>0</v>
      </c>
      <c r="I11" s="17"/>
      <c r="J11" s="1" t="s">
        <v>105</v>
      </c>
      <c r="K11" s="3">
        <f>SUMIFS(Service!$D$1:$D$295,Service!$C$1:$C$295,'Total Efforts'!J11)</f>
        <v>0</v>
      </c>
      <c r="L11" s="17"/>
      <c r="M11" s="1" t="s">
        <v>105</v>
      </c>
      <c r="N11" s="3">
        <f>SUMIFS(Performance!$D$1:$D$295,Performance!$C$1:$C$295,'Total Efforts'!M11)</f>
        <v>0</v>
      </c>
      <c r="O11" s="17"/>
      <c r="P11" s="1" t="s">
        <v>105</v>
      </c>
      <c r="Q11" s="3">
        <f>SUMIFS(Automation!$D$1:$D$331,Automation!$C$1:$C$331,'Total Efforts'!P11)</f>
        <v>0</v>
      </c>
      <c r="R11" s="17"/>
      <c r="S11" s="1" t="s">
        <v>105</v>
      </c>
      <c r="T11" s="3">
        <f>SUMIFS(BAP!$D$1:$D$295,BAP!$C$1:$C$295,'Total Efforts'!S11)</f>
        <v>0</v>
      </c>
      <c r="V11" s="1" t="s">
        <v>105</v>
      </c>
      <c r="W11" s="3">
        <f>SUMIFS(POLS!$D$1:$D$295,POLS!$C$1:$C$295,'Total Efforts'!V11)</f>
        <v>0</v>
      </c>
      <c r="Y11" s="126" t="s">
        <v>105</v>
      </c>
      <c r="Z11" s="127">
        <f t="shared" si="0"/>
        <v>0</v>
      </c>
    </row>
    <row r="12" spans="1:29">
      <c r="A12" s="1" t="s">
        <v>28</v>
      </c>
      <c r="B12" s="3">
        <f>SUMIFS(B2B!$D$1:$D$294,B2B!$C$1:$C$294,'Total Efforts'!A12)</f>
        <v>0</v>
      </c>
      <c r="C12" s="17"/>
      <c r="D12" s="1" t="s">
        <v>28</v>
      </c>
      <c r="E12" s="3">
        <f>SUMIFS(StampsCollectibles!$D$1:$D$295,StampsCollectibles!$C$1:$C$295,'Total Efforts'!D12)</f>
        <v>0</v>
      </c>
      <c r="F12" s="17"/>
      <c r="G12" s="1" t="s">
        <v>28</v>
      </c>
      <c r="H12" s="3">
        <f>SUMIFS(Factory!$D$1:$D$296,Factory!$C$1:$C$296,'Total Efforts'!G12)</f>
        <v>0</v>
      </c>
      <c r="I12" s="17"/>
      <c r="J12" s="1" t="s">
        <v>28</v>
      </c>
      <c r="K12" s="3">
        <f>SUMIFS(Service!$D$1:$D$295,Service!$C$1:$C$295,'Total Efforts'!J12)</f>
        <v>0</v>
      </c>
      <c r="L12" s="17"/>
      <c r="M12" s="1" t="s">
        <v>28</v>
      </c>
      <c r="N12" s="3">
        <f>SUMIFS(Performance!$D$1:$D$295,Performance!$C$1:$C$295,'Total Efforts'!M12)</f>
        <v>0</v>
      </c>
      <c r="O12" s="17"/>
      <c r="P12" s="1" t="s">
        <v>28</v>
      </c>
      <c r="Q12" s="3">
        <f>SUMIFS(Automation!$D$1:$D$331,Automation!$C$1:$C$331,'Total Efforts'!P12)</f>
        <v>0</v>
      </c>
      <c r="R12" s="17"/>
      <c r="S12" s="1" t="s">
        <v>28</v>
      </c>
      <c r="T12" s="3">
        <f>SUMIFS(BAP!$D$1:$D$295,BAP!$C$1:$C$295,'Total Efforts'!S12)</f>
        <v>0</v>
      </c>
      <c r="V12" s="1" t="s">
        <v>28</v>
      </c>
      <c r="W12" s="3">
        <f>SUMIFS(POLS!$D$1:$D$295,POLS!$C$1:$C$295,'Total Efforts'!V12)</f>
        <v>0</v>
      </c>
      <c r="Y12" s="126" t="s">
        <v>28</v>
      </c>
      <c r="Z12" s="127">
        <f t="shared" si="0"/>
        <v>0</v>
      </c>
    </row>
    <row r="13" spans="1:29">
      <c r="A13" s="1" t="s">
        <v>18</v>
      </c>
      <c r="B13" s="3">
        <f>SUMIFS(B2B!$D$1:$D$294,B2B!$C$1:$C$294,'Total Efforts'!A13)</f>
        <v>0</v>
      </c>
      <c r="C13" s="17"/>
      <c r="D13" s="1" t="s">
        <v>18</v>
      </c>
      <c r="E13" s="3">
        <f>SUMIFS(StampsCollectibles!$D$1:$D$295,StampsCollectibles!$C$1:$C$295,'Total Efforts'!D13)</f>
        <v>0</v>
      </c>
      <c r="F13" s="17"/>
      <c r="G13" s="1" t="s">
        <v>18</v>
      </c>
      <c r="H13" s="3">
        <f>SUMIFS(Factory!$D$1:$D$296,Factory!$C$1:$C$296,'Total Efforts'!G13)</f>
        <v>0</v>
      </c>
      <c r="I13" s="17"/>
      <c r="J13" s="1" t="s">
        <v>18</v>
      </c>
      <c r="K13" s="3">
        <f>SUMIFS(Service!$D$1:$D$295,Service!$C$1:$C$295,'Total Efforts'!J13)</f>
        <v>0</v>
      </c>
      <c r="L13" s="17"/>
      <c r="M13" s="1" t="s">
        <v>18</v>
      </c>
      <c r="N13" s="3">
        <f>SUMIFS(Performance!$D$1:$D$295,Performance!$C$1:$C$295,'Total Efforts'!M13)</f>
        <v>0</v>
      </c>
      <c r="O13" s="17"/>
      <c r="P13" s="1" t="s">
        <v>18</v>
      </c>
      <c r="Q13" s="3">
        <f>SUMIFS(Automation!$D$1:$D$331,Automation!$C$1:$C$331,'Total Efforts'!P13)</f>
        <v>0</v>
      </c>
      <c r="R13" s="17"/>
      <c r="S13" s="1" t="s">
        <v>18</v>
      </c>
      <c r="T13" s="3">
        <f>SUMIFS(BAP!$D$1:$D$295,BAP!$C$1:$C$295,'Total Efforts'!S13)</f>
        <v>0</v>
      </c>
      <c r="V13" s="1" t="s">
        <v>18</v>
      </c>
      <c r="W13" s="3">
        <f>SUMIFS(POLS!$D$1:$D$295,POLS!$C$1:$C$295,'Total Efforts'!V13)</f>
        <v>0</v>
      </c>
      <c r="Y13" s="126" t="s">
        <v>18</v>
      </c>
      <c r="Z13" s="127">
        <f t="shared" si="0"/>
        <v>0</v>
      </c>
    </row>
    <row r="14" spans="1:29">
      <c r="A14" s="1" t="s">
        <v>29</v>
      </c>
      <c r="B14" s="3">
        <f>SUMIFS(B2B!$D$1:$D$294,B2B!$C$1:$C$294,'Total Efforts'!A14)</f>
        <v>0</v>
      </c>
      <c r="C14" s="17"/>
      <c r="D14" s="1" t="s">
        <v>29</v>
      </c>
      <c r="E14" s="3">
        <f>SUMIFS(StampsCollectibles!$D$1:$D$295,StampsCollectibles!$C$1:$C$295,'Total Efforts'!D14)</f>
        <v>0</v>
      </c>
      <c r="F14" s="17"/>
      <c r="G14" s="1" t="s">
        <v>29</v>
      </c>
      <c r="H14" s="3">
        <f>SUMIFS(Factory!$D$1:$D$296,Factory!$C$1:$C$296,'Total Efforts'!G14)</f>
        <v>0</v>
      </c>
      <c r="I14" s="17"/>
      <c r="J14" s="1" t="s">
        <v>29</v>
      </c>
      <c r="K14" s="3">
        <f>SUMIFS(Service!$D$1:$D$295,Service!$C$1:$C$295,'Total Efforts'!J14)</f>
        <v>0</v>
      </c>
      <c r="L14" s="17"/>
      <c r="M14" s="1" t="s">
        <v>29</v>
      </c>
      <c r="N14" s="3">
        <f>SUMIFS(Performance!$D$1:$D$295,Performance!$C$1:$C$295,'Total Efforts'!M14)</f>
        <v>0</v>
      </c>
      <c r="O14" s="17"/>
      <c r="P14" s="1" t="s">
        <v>29</v>
      </c>
      <c r="Q14" s="3">
        <f>SUMIFS(Automation!$D$1:$D$331,Automation!$C$1:$C$331,'Total Efforts'!P14)</f>
        <v>89.5</v>
      </c>
      <c r="R14" s="17"/>
      <c r="S14" s="1" t="s">
        <v>29</v>
      </c>
      <c r="T14" s="3">
        <f>SUMIFS(BAP!$D$1:$D$295,BAP!$C$1:$C$295,'Total Efforts'!S14)</f>
        <v>0</v>
      </c>
      <c r="V14" s="1" t="s">
        <v>29</v>
      </c>
      <c r="W14" s="3">
        <f>SUMIFS(POLS!$D$1:$D$295,POLS!$C$1:$C$295,'Total Efforts'!V14)</f>
        <v>0</v>
      </c>
      <c r="Y14" s="126" t="s">
        <v>29</v>
      </c>
      <c r="Z14" s="127">
        <f t="shared" si="0"/>
        <v>89.5</v>
      </c>
    </row>
    <row r="15" spans="1:29">
      <c r="A15" s="1" t="s">
        <v>7</v>
      </c>
      <c r="B15" s="3">
        <f>SUMIFS(B2B!$D$1:$D$294,B2B!$C$1:$C$294,'Total Efforts'!A15)</f>
        <v>0</v>
      </c>
      <c r="C15" s="17"/>
      <c r="D15" s="1" t="s">
        <v>7</v>
      </c>
      <c r="E15" s="3">
        <f>SUMIFS(StampsCollectibles!$D$1:$D$295,StampsCollectibles!$C$1:$C$295,'Total Efforts'!D15)</f>
        <v>0</v>
      </c>
      <c r="F15" s="17"/>
      <c r="G15" s="1" t="s">
        <v>7</v>
      </c>
      <c r="H15" s="3">
        <f>SUMIFS(Factory!$D$1:$D$296,Factory!$C$1:$C$296,'Total Efforts'!G15)</f>
        <v>0</v>
      </c>
      <c r="I15" s="17"/>
      <c r="J15" s="1" t="s">
        <v>7</v>
      </c>
      <c r="K15" s="3">
        <f>SUMIFS(Service!$D$1:$D$295,Service!$C$1:$C$295,'Total Efforts'!J15)</f>
        <v>0</v>
      </c>
      <c r="L15" s="17"/>
      <c r="M15" s="1" t="s">
        <v>7</v>
      </c>
      <c r="N15" s="3">
        <f>SUMIFS(Performance!$D$1:$D$295,Performance!$C$1:$C$295,'Total Efforts'!M15)</f>
        <v>0</v>
      </c>
      <c r="O15" s="17"/>
      <c r="P15" s="1" t="s">
        <v>7</v>
      </c>
      <c r="Q15" s="3">
        <f>SUMIFS(Automation!$D$1:$D$331,Automation!$C$1:$C$331,'Total Efforts'!P15)</f>
        <v>0</v>
      </c>
      <c r="R15" s="17"/>
      <c r="S15" s="1" t="s">
        <v>7</v>
      </c>
      <c r="T15" s="3">
        <f>SUMIFS(BAP!$D$1:$D$295,BAP!$C$1:$C$295,'Total Efforts'!S15)</f>
        <v>0</v>
      </c>
      <c r="V15" s="1" t="s">
        <v>7</v>
      </c>
      <c r="W15" s="3">
        <f>SUMIFS(POLS!$D$1:$D$295,POLS!$C$1:$C$295,'Total Efforts'!V15)</f>
        <v>0</v>
      </c>
      <c r="Y15" s="126" t="s">
        <v>7</v>
      </c>
      <c r="Z15" s="127">
        <f t="shared" si="0"/>
        <v>0</v>
      </c>
    </row>
    <row r="16" spans="1:29">
      <c r="A16" s="1" t="s">
        <v>0</v>
      </c>
      <c r="B16" s="3">
        <f>SUMIFS(B2B!$D$1:$D$294,B2B!$C$1:$C$294,'Total Efforts'!A16)</f>
        <v>0</v>
      </c>
      <c r="C16" s="17"/>
      <c r="D16" s="1" t="s">
        <v>0</v>
      </c>
      <c r="E16" s="3">
        <f>SUMIFS(StampsCollectibles!$D$1:$D$295,StampsCollectibles!$C$1:$C$295,'Total Efforts'!D16)</f>
        <v>0</v>
      </c>
      <c r="F16" s="17"/>
      <c r="G16" s="1" t="s">
        <v>0</v>
      </c>
      <c r="H16" s="3">
        <f>SUMIFS(Factory!$D$1:$D$296,Factory!$C$1:$C$296,'Total Efforts'!G16)</f>
        <v>0</v>
      </c>
      <c r="I16" s="17"/>
      <c r="J16" s="1" t="s">
        <v>0</v>
      </c>
      <c r="K16" s="3">
        <f>SUMIFS(Service!$D$1:$D$295,Service!$C$1:$C$295,'Total Efforts'!J16)</f>
        <v>0</v>
      </c>
      <c r="L16" s="17"/>
      <c r="M16" s="1" t="s">
        <v>0</v>
      </c>
      <c r="N16" s="3">
        <f>SUMIFS(Performance!$D$1:$D$295,Performance!$C$1:$C$295,'Total Efforts'!M16)</f>
        <v>0</v>
      </c>
      <c r="O16" s="17"/>
      <c r="P16" s="1" t="s">
        <v>0</v>
      </c>
      <c r="Q16" s="3">
        <f>SUMIFS(Automation!$D$1:$D$331,Automation!$C$1:$C$331,'Total Efforts'!P16)</f>
        <v>0</v>
      </c>
      <c r="R16" s="17"/>
      <c r="S16" s="1" t="s">
        <v>0</v>
      </c>
      <c r="T16" s="3">
        <f>SUMIFS(BAP!$D$1:$D$295,BAP!$C$1:$C$295,'Total Efforts'!S16)</f>
        <v>0</v>
      </c>
      <c r="V16" s="1" t="s">
        <v>0</v>
      </c>
      <c r="W16" s="3">
        <f>SUMIFS(POLS!$D$1:$D$295,POLS!$C$1:$C$295,'Total Efforts'!V16)</f>
        <v>0</v>
      </c>
      <c r="Y16" s="126" t="s">
        <v>0</v>
      </c>
      <c r="Z16" s="127">
        <f t="shared" si="0"/>
        <v>0</v>
      </c>
    </row>
    <row r="17" spans="1:26">
      <c r="A17" s="1" t="s">
        <v>24</v>
      </c>
      <c r="B17" s="3">
        <f>SUMIFS(B2B!$D$1:$D$294,B2B!$C$1:$C$294,'Total Efforts'!A17)</f>
        <v>0</v>
      </c>
      <c r="C17" s="17"/>
      <c r="D17" s="1" t="s">
        <v>24</v>
      </c>
      <c r="E17" s="3">
        <f>SUMIFS(StampsCollectibles!$D$1:$D$295,StampsCollectibles!$C$1:$C$295,'Total Efforts'!D17)</f>
        <v>0</v>
      </c>
      <c r="F17" s="17"/>
      <c r="G17" s="1" t="s">
        <v>24</v>
      </c>
      <c r="H17" s="3">
        <f>SUMIFS(Factory!$D$1:$D$296,Factory!$C$1:$C$296,'Total Efforts'!G17)</f>
        <v>0</v>
      </c>
      <c r="I17" s="17"/>
      <c r="J17" s="1" t="s">
        <v>24</v>
      </c>
      <c r="K17" s="3">
        <f>SUMIFS(Service!$D$1:$D$295,Service!$C$1:$C$295,'Total Efforts'!J17)</f>
        <v>0</v>
      </c>
      <c r="L17" s="17"/>
      <c r="M17" s="1" t="s">
        <v>24</v>
      </c>
      <c r="N17" s="3">
        <f>SUMIFS(Performance!$D$1:$D$295,Performance!$C$1:$C$295,'Total Efforts'!M17)</f>
        <v>0</v>
      </c>
      <c r="O17" s="17"/>
      <c r="P17" s="1" t="s">
        <v>24</v>
      </c>
      <c r="Q17" s="3">
        <f>SUMIFS(Automation!$D$1:$D$331,Automation!$C$1:$C$331,'Total Efforts'!P17)</f>
        <v>0</v>
      </c>
      <c r="R17" s="17"/>
      <c r="S17" s="1" t="s">
        <v>24</v>
      </c>
      <c r="T17" s="3">
        <f>SUMIFS(BAP!$D$1:$D$295,BAP!$C$1:$C$295,'Total Efforts'!S17)</f>
        <v>0</v>
      </c>
      <c r="V17" s="1" t="s">
        <v>24</v>
      </c>
      <c r="W17" s="3">
        <f>SUMIFS(POLS!$D$1:$D$295,POLS!$C$1:$C$295,'Total Efforts'!V17)</f>
        <v>0</v>
      </c>
      <c r="Y17" s="126" t="s">
        <v>24</v>
      </c>
      <c r="Z17" s="127">
        <f t="shared" si="0"/>
        <v>0</v>
      </c>
    </row>
    <row r="18" spans="1:26">
      <c r="A18" s="1" t="s">
        <v>97</v>
      </c>
      <c r="B18" s="3">
        <f>SUMIFS(B2B!$D$1:$D$294,B2B!$C$1:$C$294,'Total Efforts'!A18)</f>
        <v>0</v>
      </c>
      <c r="C18" s="17"/>
      <c r="D18" s="1" t="s">
        <v>97</v>
      </c>
      <c r="E18" s="3">
        <f>SUMIFS(StampsCollectibles!$D$1:$D$295,StampsCollectibles!$C$1:$C$295,'Total Efforts'!D18)</f>
        <v>0</v>
      </c>
      <c r="F18" s="17"/>
      <c r="G18" s="1" t="s">
        <v>97</v>
      </c>
      <c r="H18" s="3">
        <f>SUMIFS(Factory!$D$1:$D$296,Factory!$C$1:$C$296,'Total Efforts'!G18)</f>
        <v>0</v>
      </c>
      <c r="I18" s="17"/>
      <c r="J18" s="1" t="s">
        <v>97</v>
      </c>
      <c r="K18" s="3">
        <f>SUMIFS(Service!$D$1:$D$295,Service!$C$1:$C$295,'Total Efforts'!J18)</f>
        <v>0</v>
      </c>
      <c r="L18" s="17"/>
      <c r="M18" s="1" t="s">
        <v>97</v>
      </c>
      <c r="N18" s="3">
        <f>SUMIFS(Performance!$D$1:$D$295,Performance!$C$1:$C$295,'Total Efforts'!M18)</f>
        <v>0</v>
      </c>
      <c r="O18" s="17"/>
      <c r="P18" s="1" t="s">
        <v>97</v>
      </c>
      <c r="Q18" s="3">
        <f>SUMIFS(Automation!$D$1:$D$331,Automation!$C$1:$C$331,'Total Efforts'!P18)</f>
        <v>0</v>
      </c>
      <c r="R18" s="17"/>
      <c r="S18" s="1" t="s">
        <v>97</v>
      </c>
      <c r="T18" s="3">
        <f>SUMIFS(BAP!$D$1:$D$295,BAP!$C$1:$C$295,'Total Efforts'!S18)</f>
        <v>0</v>
      </c>
      <c r="V18" s="1" t="s">
        <v>97</v>
      </c>
      <c r="W18" s="3">
        <f>SUMIFS(POLS!$D$1:$D$295,POLS!$C$1:$C$295,'Total Efforts'!V18)</f>
        <v>0</v>
      </c>
      <c r="Y18" s="126" t="s">
        <v>97</v>
      </c>
      <c r="Z18" s="127">
        <f t="shared" si="0"/>
        <v>0</v>
      </c>
    </row>
    <row r="19" spans="1:26">
      <c r="A19" s="1" t="s">
        <v>26</v>
      </c>
      <c r="B19" s="3">
        <f>SUMIFS(B2B!$D$1:$D$294,B2B!$C$1:$C$294,'Total Efforts'!A19)</f>
        <v>0</v>
      </c>
      <c r="C19" s="17"/>
      <c r="D19" s="1" t="s">
        <v>26</v>
      </c>
      <c r="E19" s="3">
        <f>SUMIFS(StampsCollectibles!$D$1:$D$295,StampsCollectibles!$C$1:$C$295,'Total Efforts'!D19)</f>
        <v>0</v>
      </c>
      <c r="F19" s="17"/>
      <c r="G19" s="1" t="s">
        <v>26</v>
      </c>
      <c r="H19" s="3">
        <f>SUMIFS(Factory!$D$1:$D$296,Factory!$C$1:$C$296,'Total Efforts'!G19)</f>
        <v>0</v>
      </c>
      <c r="I19" s="17"/>
      <c r="J19" s="1" t="s">
        <v>26</v>
      </c>
      <c r="K19" s="3">
        <f>SUMIFS(Service!$D$1:$D$295,Service!$C$1:$C$295,'Total Efforts'!J19)</f>
        <v>0</v>
      </c>
      <c r="L19" s="17"/>
      <c r="M19" s="1" t="s">
        <v>26</v>
      </c>
      <c r="N19" s="3">
        <f>SUMIFS(Performance!$D$1:$D$295,Performance!$C$1:$C$295,'Total Efforts'!M19)</f>
        <v>0</v>
      </c>
      <c r="O19" s="17"/>
      <c r="P19" s="1" t="s">
        <v>26</v>
      </c>
      <c r="Q19" s="3">
        <f>SUMIFS(Automation!$D$1:$D$331,Automation!$C$1:$C$331,'Total Efforts'!P19)</f>
        <v>0</v>
      </c>
      <c r="R19" s="17"/>
      <c r="S19" s="1" t="s">
        <v>26</v>
      </c>
      <c r="T19" s="3">
        <f>SUMIFS(BAP!$D$1:$D$295,BAP!$C$1:$C$295,'Total Efforts'!S19)</f>
        <v>0</v>
      </c>
      <c r="V19" s="1" t="s">
        <v>26</v>
      </c>
      <c r="W19" s="3">
        <f>SUMIFS(POLS!$D$1:$D$295,POLS!$C$1:$C$295,'Total Efforts'!V19)</f>
        <v>0</v>
      </c>
      <c r="Y19" s="126" t="s">
        <v>26</v>
      </c>
      <c r="Z19" s="127">
        <f t="shared" si="0"/>
        <v>0</v>
      </c>
    </row>
    <row r="20" spans="1:26">
      <c r="A20" s="1" t="s">
        <v>22</v>
      </c>
      <c r="B20" s="3">
        <f>SUMIFS(B2B!$D$1:$D$294,B2B!$C$1:$C$294,'Total Efforts'!A20)</f>
        <v>0</v>
      </c>
      <c r="C20" s="17"/>
      <c r="D20" s="1" t="s">
        <v>22</v>
      </c>
      <c r="E20" s="3">
        <f>SUMIFS(StampsCollectibles!$D$1:$D$295,StampsCollectibles!$C$1:$C$295,'Total Efforts'!D20)</f>
        <v>0</v>
      </c>
      <c r="F20" s="17"/>
      <c r="G20" s="1" t="s">
        <v>22</v>
      </c>
      <c r="H20" s="3">
        <f>SUMIFS(Factory!$D$1:$D$296,Factory!$C$1:$C$296,'Total Efforts'!G20)</f>
        <v>0</v>
      </c>
      <c r="I20" s="17"/>
      <c r="J20" s="1" t="s">
        <v>22</v>
      </c>
      <c r="K20" s="3">
        <f>SUMIFS(Service!$D$1:$D$295,Service!$C$1:$C$295,'Total Efforts'!J20)</f>
        <v>0</v>
      </c>
      <c r="L20" s="17"/>
      <c r="M20" s="1" t="s">
        <v>22</v>
      </c>
      <c r="N20" s="3">
        <f>SUMIFS(Performance!$D$1:$D$295,Performance!$C$1:$C$295,'Total Efforts'!M20)</f>
        <v>0</v>
      </c>
      <c r="O20" s="17"/>
      <c r="P20" s="1" t="s">
        <v>22</v>
      </c>
      <c r="Q20" s="3">
        <f>SUMIFS(Automation!$D$1:$D$331,Automation!$C$1:$C$331,'Total Efforts'!P20)</f>
        <v>0</v>
      </c>
      <c r="R20" s="17"/>
      <c r="S20" s="1" t="s">
        <v>22</v>
      </c>
      <c r="T20" s="3">
        <f>SUMIFS(BAP!$D$1:$D$295,BAP!$C$1:$C$295,'Total Efforts'!S20)</f>
        <v>0</v>
      </c>
      <c r="V20" s="1" t="s">
        <v>22</v>
      </c>
      <c r="W20" s="3">
        <f>SUMIFS(POLS!$D$1:$D$295,POLS!$C$1:$C$295,'Total Efforts'!V20)</f>
        <v>0</v>
      </c>
      <c r="Y20" s="126" t="s">
        <v>22</v>
      </c>
      <c r="Z20" s="127">
        <f t="shared" si="0"/>
        <v>0</v>
      </c>
    </row>
    <row r="21" spans="1:26">
      <c r="A21" s="1" t="s">
        <v>32</v>
      </c>
      <c r="B21" s="3">
        <f>SUMIFS(B2B!$D$1:$D$294,B2B!$C$1:$C$294,'Total Efforts'!A21)</f>
        <v>0</v>
      </c>
      <c r="C21" s="17"/>
      <c r="D21" s="1" t="s">
        <v>32</v>
      </c>
      <c r="E21" s="3">
        <f>SUMIFS(StampsCollectibles!$D$1:$D$295,StampsCollectibles!$C$1:$C$295,'Total Efforts'!D21)</f>
        <v>0</v>
      </c>
      <c r="F21" s="17"/>
      <c r="G21" s="1" t="s">
        <v>32</v>
      </c>
      <c r="H21" s="3">
        <f>SUMIFS(Factory!$D$1:$D$296,Factory!$C$1:$C$296,'Total Efforts'!G21)</f>
        <v>0</v>
      </c>
      <c r="I21" s="17"/>
      <c r="J21" s="1" t="s">
        <v>32</v>
      </c>
      <c r="K21" s="3">
        <f>SUMIFS(Service!$D$1:$D$295,Service!$C$1:$C$295,'Total Efforts'!J21)</f>
        <v>0</v>
      </c>
      <c r="L21" s="17"/>
      <c r="M21" s="1" t="s">
        <v>32</v>
      </c>
      <c r="N21" s="3">
        <f>SUMIFS(Performance!$D$1:$D$295,Performance!$C$1:$C$295,'Total Efforts'!M21)</f>
        <v>0</v>
      </c>
      <c r="O21" s="17"/>
      <c r="P21" s="1" t="s">
        <v>32</v>
      </c>
      <c r="Q21" s="3">
        <f>SUMIFS(Automation!$D$1:$D$331,Automation!$C$1:$C$331,'Total Efforts'!P21)</f>
        <v>0</v>
      </c>
      <c r="R21" s="17"/>
      <c r="S21" s="1" t="s">
        <v>32</v>
      </c>
      <c r="T21" s="3">
        <f>SUMIFS(BAP!$D$1:$D$295,BAP!$C$1:$C$295,'Total Efforts'!S21)</f>
        <v>0</v>
      </c>
      <c r="V21" s="1" t="s">
        <v>32</v>
      </c>
      <c r="W21" s="3">
        <f>SUMIFS(POLS!$D$1:$D$295,POLS!$C$1:$C$295,'Total Efforts'!V21)</f>
        <v>0</v>
      </c>
      <c r="Y21" s="126" t="s">
        <v>32</v>
      </c>
      <c r="Z21" s="127">
        <f t="shared" si="0"/>
        <v>0</v>
      </c>
    </row>
    <row r="22" spans="1:26">
      <c r="A22" s="1" t="s">
        <v>6</v>
      </c>
      <c r="B22" s="3">
        <f>SUMIFS(B2B!$D$1:$D$294,B2B!$C$1:$C$294,'Total Efforts'!A22)</f>
        <v>0</v>
      </c>
      <c r="C22" s="17"/>
      <c r="D22" s="1" t="s">
        <v>6</v>
      </c>
      <c r="E22" s="3">
        <f>SUMIFS(StampsCollectibles!$D$1:$D$295,StampsCollectibles!$C$1:$C$295,'Total Efforts'!D22)</f>
        <v>0</v>
      </c>
      <c r="F22" s="17"/>
      <c r="G22" s="1" t="s">
        <v>6</v>
      </c>
      <c r="H22" s="3">
        <f>SUMIFS(Factory!$D$1:$D$296,Factory!$C$1:$C$296,'Total Efforts'!G22)</f>
        <v>0</v>
      </c>
      <c r="I22" s="17"/>
      <c r="J22" s="1" t="s">
        <v>6</v>
      </c>
      <c r="K22" s="3">
        <f>SUMIFS(Service!$D$1:$D$295,Service!$C$1:$C$295,'Total Efforts'!J22)</f>
        <v>0</v>
      </c>
      <c r="L22" s="17"/>
      <c r="M22" s="1" t="s">
        <v>6</v>
      </c>
      <c r="N22" s="3">
        <f>SUMIFS(Performance!$D$1:$D$295,Performance!$C$1:$C$295,'Total Efforts'!M22)</f>
        <v>0</v>
      </c>
      <c r="O22" s="17"/>
      <c r="P22" s="1" t="s">
        <v>6</v>
      </c>
      <c r="Q22" s="3">
        <f>SUMIFS(Automation!$D$1:$D$331,Automation!$C$1:$C$331,'Total Efforts'!P22)</f>
        <v>0</v>
      </c>
      <c r="R22" s="17"/>
      <c r="S22" s="1" t="s">
        <v>6</v>
      </c>
      <c r="T22" s="3">
        <f>SUMIFS(BAP!$D$1:$D$295,BAP!$C$1:$C$295,'Total Efforts'!S22)</f>
        <v>0</v>
      </c>
      <c r="V22" s="1" t="s">
        <v>6</v>
      </c>
      <c r="W22" s="3">
        <f>SUMIFS(POLS!$D$1:$D$295,POLS!$C$1:$C$295,'Total Efforts'!V22)</f>
        <v>0</v>
      </c>
      <c r="Y22" s="126" t="s">
        <v>6</v>
      </c>
      <c r="Z22" s="127">
        <f t="shared" si="0"/>
        <v>0</v>
      </c>
    </row>
    <row r="23" spans="1:26">
      <c r="A23" s="1" t="s">
        <v>2</v>
      </c>
      <c r="B23" s="3">
        <f>SUMIFS(B2B!$D$1:$D$294,B2B!$C$1:$C$294,'Total Efforts'!A23)</f>
        <v>30</v>
      </c>
      <c r="C23" s="17"/>
      <c r="D23" s="1" t="s">
        <v>2</v>
      </c>
      <c r="E23" s="3">
        <f>SUMIFS(StampsCollectibles!$D$1:$D$295,StampsCollectibles!$C$1:$C$295,'Total Efforts'!D23)</f>
        <v>0</v>
      </c>
      <c r="F23" s="17"/>
      <c r="G23" s="1" t="s">
        <v>2</v>
      </c>
      <c r="H23" s="3">
        <f>SUMIFS(Factory!$D$1:$D$296,Factory!$C$1:$C$296,'Total Efforts'!G23)</f>
        <v>0</v>
      </c>
      <c r="I23" s="17"/>
      <c r="J23" s="1" t="s">
        <v>2</v>
      </c>
      <c r="K23" s="3">
        <f>SUMIFS(Service!$D$1:$D$295,Service!$C$1:$C$295,'Total Efforts'!J23)</f>
        <v>0</v>
      </c>
      <c r="L23" s="17"/>
      <c r="M23" s="1" t="s">
        <v>2</v>
      </c>
      <c r="N23" s="3">
        <f>SUMIFS(Performance!$D$1:$D$295,Performance!$C$1:$C$295,'Total Efforts'!M23)</f>
        <v>0</v>
      </c>
      <c r="O23" s="17"/>
      <c r="P23" s="1" t="s">
        <v>2</v>
      </c>
      <c r="Q23" s="3">
        <f>SUMIFS(Automation!$D$1:$D$331,Automation!$C$1:$C$331,'Total Efforts'!P23)</f>
        <v>0</v>
      </c>
      <c r="R23" s="17"/>
      <c r="S23" s="1" t="s">
        <v>2</v>
      </c>
      <c r="T23" s="3">
        <f>SUMIFS(BAP!$D$1:$D$295,BAP!$C$1:$C$295,'Total Efforts'!S23)</f>
        <v>0</v>
      </c>
      <c r="V23" s="1" t="s">
        <v>2</v>
      </c>
      <c r="W23" s="3">
        <f>SUMIFS(POLS!$D$1:$D$295,POLS!$C$1:$C$295,'Total Efforts'!V23)</f>
        <v>0</v>
      </c>
      <c r="Y23" s="126" t="s">
        <v>2</v>
      </c>
      <c r="Z23" s="127">
        <f t="shared" si="0"/>
        <v>30</v>
      </c>
    </row>
    <row r="24" spans="1:26">
      <c r="A24" s="1" t="s">
        <v>31</v>
      </c>
      <c r="B24" s="3">
        <f>SUMIFS(B2B!$D$1:$D$294,B2B!$C$1:$C$294,'Total Efforts'!A24)</f>
        <v>0</v>
      </c>
      <c r="C24" s="17"/>
      <c r="D24" s="1" t="s">
        <v>31</v>
      </c>
      <c r="E24" s="3">
        <f>SUMIFS(StampsCollectibles!$D$1:$D$295,StampsCollectibles!$C$1:$C$295,'Total Efforts'!D24)</f>
        <v>0</v>
      </c>
      <c r="F24" s="17"/>
      <c r="G24" s="1" t="s">
        <v>31</v>
      </c>
      <c r="H24" s="3">
        <f>SUMIFS(Factory!$D$1:$D$296,Factory!$C$1:$C$296,'Total Efforts'!G24)</f>
        <v>0</v>
      </c>
      <c r="I24" s="17"/>
      <c r="J24" s="1" t="s">
        <v>31</v>
      </c>
      <c r="K24" s="3">
        <f>SUMIFS(Service!$D$1:$D$295,Service!$C$1:$C$295,'Total Efforts'!J24)</f>
        <v>0</v>
      </c>
      <c r="L24" s="17"/>
      <c r="M24" s="1" t="s">
        <v>31</v>
      </c>
      <c r="N24" s="3">
        <f>SUMIFS(Performance!$D$1:$D$295,Performance!$C$1:$C$295,'Total Efforts'!M24)</f>
        <v>0</v>
      </c>
      <c r="O24" s="17"/>
      <c r="P24" s="1" t="s">
        <v>31</v>
      </c>
      <c r="Q24" s="3">
        <f>SUMIFS(Automation!$D$1:$D$331,Automation!$C$1:$C$331,'Total Efforts'!P24)</f>
        <v>32</v>
      </c>
      <c r="R24" s="17"/>
      <c r="S24" s="1" t="s">
        <v>31</v>
      </c>
      <c r="T24" s="3">
        <f>SUMIFS(BAP!$D$1:$D$295,BAP!$C$1:$C$295,'Total Efforts'!S24)</f>
        <v>0</v>
      </c>
      <c r="V24" s="1" t="s">
        <v>31</v>
      </c>
      <c r="W24" s="3">
        <f>SUMIFS(POLS!$D$1:$D$295,POLS!$C$1:$C$295,'Total Efforts'!V24)</f>
        <v>0</v>
      </c>
      <c r="Y24" s="126" t="s">
        <v>31</v>
      </c>
      <c r="Z24" s="127">
        <f t="shared" si="0"/>
        <v>32</v>
      </c>
    </row>
    <row r="25" spans="1:26">
      <c r="A25" s="1" t="s">
        <v>23</v>
      </c>
      <c r="B25" s="3">
        <f>SUMIFS(B2B!$D$1:$D$294,B2B!$C$1:$C$294,'Total Efforts'!A25)</f>
        <v>0</v>
      </c>
      <c r="C25" s="17"/>
      <c r="D25" s="1" t="s">
        <v>23</v>
      </c>
      <c r="E25" s="3">
        <f>SUMIFS(StampsCollectibles!$D$1:$D$295,StampsCollectibles!$C$1:$C$295,'Total Efforts'!D25)</f>
        <v>0</v>
      </c>
      <c r="F25" s="17"/>
      <c r="G25" s="1" t="s">
        <v>23</v>
      </c>
      <c r="H25" s="3">
        <f>SUMIFS(Factory!$D$1:$D$296,Factory!$C$1:$C$296,'Total Efforts'!G25)</f>
        <v>0</v>
      </c>
      <c r="I25" s="17"/>
      <c r="J25" s="1" t="s">
        <v>23</v>
      </c>
      <c r="K25" s="3">
        <f>SUMIFS(Service!$D$1:$D$295,Service!$C$1:$C$295,'Total Efforts'!J25)</f>
        <v>0</v>
      </c>
      <c r="L25" s="17"/>
      <c r="M25" s="1" t="s">
        <v>23</v>
      </c>
      <c r="N25" s="3">
        <f>SUMIFS(Performance!$D$1:$D$295,Performance!$C$1:$C$295,'Total Efforts'!M25)</f>
        <v>0</v>
      </c>
      <c r="O25" s="17"/>
      <c r="P25" s="1" t="s">
        <v>23</v>
      </c>
      <c r="Q25" s="3">
        <f>SUMIFS(Automation!$D$1:$D$331,Automation!$C$1:$C$331,'Total Efforts'!P25)</f>
        <v>0</v>
      </c>
      <c r="R25" s="17"/>
      <c r="S25" s="1" t="s">
        <v>23</v>
      </c>
      <c r="T25" s="3">
        <f>SUMIFS(BAP!$D$1:$D$295,BAP!$C$1:$C$295,'Total Efforts'!S25)</f>
        <v>0</v>
      </c>
      <c r="V25" s="1" t="s">
        <v>23</v>
      </c>
      <c r="W25" s="3">
        <f>SUMIFS(POLS!$D$1:$D$295,POLS!$C$1:$C$295,'Total Efforts'!V25)</f>
        <v>20</v>
      </c>
      <c r="Y25" s="126" t="s">
        <v>23</v>
      </c>
      <c r="Z25" s="127">
        <f t="shared" si="0"/>
        <v>20</v>
      </c>
    </row>
    <row r="26" spans="1:26">
      <c r="A26" s="1" t="s">
        <v>25</v>
      </c>
      <c r="B26" s="3">
        <f>SUMIFS(B2B!$D$1:$D$294,B2B!$C$1:$C$294,'Total Efforts'!A26)</f>
        <v>0</v>
      </c>
      <c r="C26" s="17"/>
      <c r="D26" s="1" t="s">
        <v>25</v>
      </c>
      <c r="E26" s="3">
        <f>SUMIFS(StampsCollectibles!$D$1:$D$295,StampsCollectibles!$C$1:$C$295,'Total Efforts'!D26)</f>
        <v>0</v>
      </c>
      <c r="F26" s="17"/>
      <c r="G26" s="1" t="s">
        <v>25</v>
      </c>
      <c r="H26" s="3">
        <f>SUMIFS(Factory!$D$1:$D$296,Factory!$C$1:$C$296,'Total Efforts'!G26)</f>
        <v>0</v>
      </c>
      <c r="I26" s="17"/>
      <c r="J26" s="1" t="s">
        <v>25</v>
      </c>
      <c r="K26" s="3">
        <f>SUMIFS(Service!$D$1:$D$295,Service!$C$1:$C$295,'Total Efforts'!J26)</f>
        <v>0</v>
      </c>
      <c r="L26" s="17"/>
      <c r="M26" s="1" t="s">
        <v>25</v>
      </c>
      <c r="N26" s="3">
        <f>SUMIFS(Performance!$D$1:$D$295,Performance!$C$1:$C$295,'Total Efforts'!M26)</f>
        <v>0</v>
      </c>
      <c r="O26" s="17"/>
      <c r="P26" s="1" t="s">
        <v>25</v>
      </c>
      <c r="Q26" s="3">
        <f>SUMIFS(Automation!$D$1:$D$331,Automation!$C$1:$C$331,'Total Efforts'!P26)</f>
        <v>0</v>
      </c>
      <c r="R26" s="17"/>
      <c r="S26" s="1" t="s">
        <v>25</v>
      </c>
      <c r="T26" s="3">
        <f>SUMIFS(BAP!$D$1:$D$295,BAP!$C$1:$C$295,'Total Efforts'!S26)</f>
        <v>0</v>
      </c>
      <c r="V26" s="1" t="s">
        <v>25</v>
      </c>
      <c r="W26" s="3">
        <f>SUMIFS(POLS!$D$1:$D$295,POLS!$C$1:$C$295,'Total Efforts'!V26)</f>
        <v>0</v>
      </c>
      <c r="Y26" s="126" t="s">
        <v>25</v>
      </c>
      <c r="Z26" s="127">
        <f t="shared" si="0"/>
        <v>0</v>
      </c>
    </row>
    <row r="27" spans="1:26">
      <c r="A27" s="1" t="s">
        <v>20</v>
      </c>
      <c r="B27" s="3">
        <f>SUMIFS(B2B!$D$1:$D$294,B2B!$C$1:$C$294,'Total Efforts'!A27)</f>
        <v>0</v>
      </c>
      <c r="C27" s="17"/>
      <c r="D27" s="1" t="s">
        <v>20</v>
      </c>
      <c r="E27" s="3">
        <f>SUMIFS(StampsCollectibles!$D$1:$D$295,StampsCollectibles!$C$1:$C$295,'Total Efforts'!D27)</f>
        <v>0</v>
      </c>
      <c r="F27" s="17"/>
      <c r="G27" s="1" t="s">
        <v>20</v>
      </c>
      <c r="H27" s="3">
        <f>SUMIFS(Factory!$D$1:$D$296,Factory!$C$1:$C$296,'Total Efforts'!G27)</f>
        <v>0</v>
      </c>
      <c r="I27" s="17"/>
      <c r="J27" s="1" t="s">
        <v>20</v>
      </c>
      <c r="K27" s="3">
        <f>SUMIFS(Service!$D$1:$D$295,Service!$C$1:$C$295,'Total Efforts'!J27)</f>
        <v>0</v>
      </c>
      <c r="L27" s="17"/>
      <c r="M27" s="1" t="s">
        <v>20</v>
      </c>
      <c r="N27" s="3">
        <f>SUMIFS(Performance!$D$1:$D$295,Performance!$C$1:$C$295,'Total Efforts'!M27)</f>
        <v>0</v>
      </c>
      <c r="O27" s="17"/>
      <c r="P27" s="1" t="s">
        <v>20</v>
      </c>
      <c r="Q27" s="3">
        <f>SUMIFS(Automation!$D$1:$D$331,Automation!$C$1:$C$331,'Total Efforts'!P27)</f>
        <v>0</v>
      </c>
      <c r="R27" s="17"/>
      <c r="S27" s="1" t="s">
        <v>20</v>
      </c>
      <c r="T27" s="3">
        <f>SUMIFS(BAP!$D$1:$D$295,BAP!$C$1:$C$295,'Total Efforts'!S27)</f>
        <v>0</v>
      </c>
      <c r="V27" s="1" t="s">
        <v>20</v>
      </c>
      <c r="W27" s="3">
        <f>SUMIFS(POLS!$D$1:$D$295,POLS!$C$1:$C$295,'Total Efforts'!V27)</f>
        <v>0</v>
      </c>
      <c r="Y27" s="126" t="s">
        <v>20</v>
      </c>
      <c r="Z27" s="127">
        <f t="shared" si="0"/>
        <v>0</v>
      </c>
    </row>
    <row r="28" spans="1:26">
      <c r="A28" s="1" t="s">
        <v>11</v>
      </c>
      <c r="B28" s="3">
        <f>SUMIFS(B2B!$D$1:$D$294,B2B!$C$1:$C$294,'Total Efforts'!A28)</f>
        <v>0</v>
      </c>
      <c r="C28" s="17"/>
      <c r="D28" s="1" t="s">
        <v>11</v>
      </c>
      <c r="E28" s="3">
        <f>SUMIFS(StampsCollectibles!$D$1:$D$295,StampsCollectibles!$C$1:$C$295,'Total Efforts'!D28)</f>
        <v>0</v>
      </c>
      <c r="F28" s="17"/>
      <c r="G28" s="1" t="s">
        <v>11</v>
      </c>
      <c r="H28" s="3">
        <f>SUMIFS(Factory!$D$1:$D$296,Factory!$C$1:$C$296,'Total Efforts'!G28)</f>
        <v>0</v>
      </c>
      <c r="I28" s="17"/>
      <c r="J28" s="1" t="s">
        <v>11</v>
      </c>
      <c r="K28" s="3">
        <f>SUMIFS(Service!$D$1:$D$295,Service!$C$1:$C$295,'Total Efforts'!J28)</f>
        <v>0</v>
      </c>
      <c r="L28" s="17"/>
      <c r="M28" s="1" t="s">
        <v>11</v>
      </c>
      <c r="N28" s="3">
        <f>SUMIFS(Performance!$D$1:$D$295,Performance!$C$1:$C$295,'Total Efforts'!M28)</f>
        <v>0</v>
      </c>
      <c r="O28" s="17"/>
      <c r="P28" s="1" t="s">
        <v>11</v>
      </c>
      <c r="Q28" s="3">
        <f>SUMIFS(Automation!$D$1:$D$331,Automation!$C$1:$C$331,'Total Efforts'!P28)</f>
        <v>0</v>
      </c>
      <c r="R28" s="17"/>
      <c r="S28" s="1" t="s">
        <v>11</v>
      </c>
      <c r="T28" s="3">
        <f>SUMIFS(BAP!$D$1:$D$295,BAP!$C$1:$C$295,'Total Efforts'!S28)</f>
        <v>0</v>
      </c>
      <c r="V28" s="1" t="s">
        <v>11</v>
      </c>
      <c r="W28" s="3">
        <f>SUMIFS(POLS!$D$1:$D$295,POLS!$C$1:$C$295,'Total Efforts'!V28)</f>
        <v>0</v>
      </c>
      <c r="Y28" s="126" t="s">
        <v>11</v>
      </c>
      <c r="Z28" s="127">
        <f t="shared" si="0"/>
        <v>0</v>
      </c>
    </row>
    <row r="29" spans="1:26">
      <c r="A29" s="1" t="s">
        <v>12</v>
      </c>
      <c r="B29" s="3">
        <f>SUMIFS(B2B!$D$1:$D$294,B2B!$C$1:$C$294,'Total Efforts'!A29)</f>
        <v>0</v>
      </c>
      <c r="C29" s="17"/>
      <c r="D29" s="1" t="s">
        <v>12</v>
      </c>
      <c r="E29" s="3">
        <f>SUMIFS(StampsCollectibles!$D$1:$D$295,StampsCollectibles!$C$1:$C$295,'Total Efforts'!D29)</f>
        <v>0</v>
      </c>
      <c r="F29" s="17"/>
      <c r="G29" s="1" t="s">
        <v>12</v>
      </c>
      <c r="H29" s="3">
        <f>SUMIFS(Factory!$D$1:$D$296,Factory!$C$1:$C$296,'Total Efforts'!G29)</f>
        <v>0</v>
      </c>
      <c r="I29" s="17"/>
      <c r="J29" s="1" t="s">
        <v>12</v>
      </c>
      <c r="K29" s="3">
        <f>SUMIFS(Service!$D$1:$D$295,Service!$C$1:$C$295,'Total Efforts'!J29)</f>
        <v>0</v>
      </c>
      <c r="L29" s="17"/>
      <c r="M29" s="1" t="s">
        <v>12</v>
      </c>
      <c r="N29" s="3">
        <f>SUMIFS(Performance!$D$1:$D$295,Performance!$C$1:$C$295,'Total Efforts'!M29)</f>
        <v>0</v>
      </c>
      <c r="O29" s="17"/>
      <c r="P29" s="1" t="s">
        <v>12</v>
      </c>
      <c r="Q29" s="3">
        <f>SUMIFS(Automation!$D$1:$D$331,Automation!$C$1:$C$331,'Total Efforts'!P29)</f>
        <v>0</v>
      </c>
      <c r="R29" s="17"/>
      <c r="S29" s="1" t="s">
        <v>12</v>
      </c>
      <c r="T29" s="3">
        <f>SUMIFS(BAP!$D$1:$D$295,BAP!$C$1:$C$295,'Total Efforts'!S29)</f>
        <v>0</v>
      </c>
      <c r="V29" s="1" t="s">
        <v>12</v>
      </c>
      <c r="W29" s="3">
        <f>SUMIFS(POLS!$D$1:$D$295,POLS!$C$1:$C$295,'Total Efforts'!V29)</f>
        <v>0</v>
      </c>
      <c r="Y29" s="126" t="s">
        <v>12</v>
      </c>
      <c r="Z29" s="127">
        <f t="shared" si="0"/>
        <v>0</v>
      </c>
    </row>
    <row r="30" spans="1:26">
      <c r="A30" s="1" t="s">
        <v>14</v>
      </c>
      <c r="B30" s="3">
        <f>SUMIFS(B2B!$D$1:$D$294,B2B!$C$1:$C$294,'Total Efforts'!A30)</f>
        <v>0</v>
      </c>
      <c r="C30" s="17"/>
      <c r="D30" s="1" t="s">
        <v>14</v>
      </c>
      <c r="E30" s="3">
        <f>SUMIFS(StampsCollectibles!$D$1:$D$295,StampsCollectibles!$C$1:$C$295,'Total Efforts'!D30)</f>
        <v>0</v>
      </c>
      <c r="F30" s="17"/>
      <c r="G30" s="1" t="s">
        <v>14</v>
      </c>
      <c r="H30" s="3">
        <f>SUMIFS(Factory!$D$1:$D$296,Factory!$C$1:$C$296,'Total Efforts'!G30)</f>
        <v>0</v>
      </c>
      <c r="I30" s="17"/>
      <c r="J30" s="1" t="s">
        <v>14</v>
      </c>
      <c r="K30" s="3">
        <f>SUMIFS(Service!$D$1:$D$295,Service!$C$1:$C$295,'Total Efforts'!J30)</f>
        <v>0</v>
      </c>
      <c r="L30" s="17"/>
      <c r="M30" s="1" t="s">
        <v>14</v>
      </c>
      <c r="N30" s="3">
        <f>SUMIFS(Performance!$D$1:$D$295,Performance!$C$1:$C$295,'Total Efforts'!M30)</f>
        <v>0</v>
      </c>
      <c r="O30" s="17"/>
      <c r="P30" s="1" t="s">
        <v>14</v>
      </c>
      <c r="Q30" s="3">
        <f>SUMIFS(Automation!$D$1:$D$331,Automation!$C$1:$C$331,'Total Efforts'!P30)</f>
        <v>0</v>
      </c>
      <c r="R30" s="17"/>
      <c r="S30" s="1" t="s">
        <v>14</v>
      </c>
      <c r="T30" s="3">
        <f>SUMIFS(BAP!$D$1:$D$295,BAP!$C$1:$C$295,'Total Efforts'!S30)</f>
        <v>0</v>
      </c>
      <c r="V30" s="1" t="s">
        <v>14</v>
      </c>
      <c r="W30" s="3">
        <f>SUMIFS(POLS!$D$1:$D$295,POLS!$C$1:$C$295,'Total Efforts'!V30)</f>
        <v>0</v>
      </c>
      <c r="Y30" s="126" t="s">
        <v>14</v>
      </c>
      <c r="Z30" s="127">
        <f t="shared" si="0"/>
        <v>0</v>
      </c>
    </row>
    <row r="31" spans="1:26">
      <c r="A31" s="1" t="s">
        <v>17</v>
      </c>
      <c r="B31" s="3">
        <f>SUMIFS(B2B!$D$1:$D$294,B2B!$C$1:$C$294,'Total Efforts'!A31)</f>
        <v>0</v>
      </c>
      <c r="C31" s="17"/>
      <c r="D31" s="1" t="s">
        <v>17</v>
      </c>
      <c r="E31" s="3">
        <f>SUMIFS(StampsCollectibles!$D$1:$D$295,StampsCollectibles!$C$1:$C$295,'Total Efforts'!D31)</f>
        <v>0</v>
      </c>
      <c r="F31" s="17"/>
      <c r="G31" s="1" t="s">
        <v>17</v>
      </c>
      <c r="H31" s="3">
        <f>SUMIFS(Factory!$D$1:$D$296,Factory!$C$1:$C$296,'Total Efforts'!G31)</f>
        <v>0</v>
      </c>
      <c r="I31" s="17"/>
      <c r="J31" s="1" t="s">
        <v>17</v>
      </c>
      <c r="K31" s="3">
        <f>SUMIFS(Service!$D$1:$D$295,Service!$C$1:$C$295,'Total Efforts'!J31)</f>
        <v>0</v>
      </c>
      <c r="L31" s="17"/>
      <c r="M31" s="1" t="s">
        <v>17</v>
      </c>
      <c r="N31" s="3">
        <f>SUMIFS(Performance!$D$1:$D$295,Performance!$C$1:$C$295,'Total Efforts'!M31)</f>
        <v>0</v>
      </c>
      <c r="O31" s="17"/>
      <c r="P31" s="1" t="s">
        <v>17</v>
      </c>
      <c r="Q31" s="3">
        <f>SUMIFS(Automation!$D$1:$D$331,Automation!$C$1:$C$331,'Total Efforts'!P31)</f>
        <v>0</v>
      </c>
      <c r="R31" s="17"/>
      <c r="S31" s="1" t="s">
        <v>17</v>
      </c>
      <c r="T31" s="3">
        <f>SUMIFS(BAP!$D$1:$D$295,BAP!$C$1:$C$295,'Total Efforts'!S31)</f>
        <v>0</v>
      </c>
      <c r="V31" s="1" t="s">
        <v>17</v>
      </c>
      <c r="W31" s="3">
        <f>SUMIFS(POLS!$D$1:$D$295,POLS!$C$1:$C$295,'Total Efforts'!V31)</f>
        <v>0</v>
      </c>
      <c r="Y31" s="126" t="s">
        <v>17</v>
      </c>
      <c r="Z31" s="127">
        <f t="shared" si="0"/>
        <v>0</v>
      </c>
    </row>
    <row r="32" spans="1:26">
      <c r="A32" s="1" t="s">
        <v>5</v>
      </c>
      <c r="B32" s="3">
        <f>SUMIFS(B2B!$D$1:$D$294,B2B!$C$1:$C$294,'Total Efforts'!A32)</f>
        <v>0</v>
      </c>
      <c r="C32" s="17"/>
      <c r="D32" s="1" t="s">
        <v>5</v>
      </c>
      <c r="E32" s="3">
        <f>SUMIFS(StampsCollectibles!$D$1:$D$295,StampsCollectibles!$C$1:$C$295,'Total Efforts'!D32)</f>
        <v>0</v>
      </c>
      <c r="F32" s="17"/>
      <c r="G32" s="1" t="s">
        <v>5</v>
      </c>
      <c r="H32" s="3">
        <f>SUMIFS(Factory!$D$1:$D$296,Factory!$C$1:$C$296,'Total Efforts'!G32)</f>
        <v>0</v>
      </c>
      <c r="I32" s="17"/>
      <c r="J32" s="1" t="s">
        <v>5</v>
      </c>
      <c r="K32" s="3">
        <f>SUMIFS(Service!$D$1:$D$295,Service!$C$1:$C$295,'Total Efforts'!J32)</f>
        <v>0</v>
      </c>
      <c r="L32" s="17"/>
      <c r="M32" s="1" t="s">
        <v>5</v>
      </c>
      <c r="N32" s="3">
        <f>SUMIFS(Performance!$D$1:$D$295,Performance!$C$1:$C$295,'Total Efforts'!M32)</f>
        <v>0</v>
      </c>
      <c r="O32" s="17"/>
      <c r="P32" s="1" t="s">
        <v>5</v>
      </c>
      <c r="Q32" s="3">
        <f>SUMIFS(Automation!$D$1:$D$331,Automation!$C$1:$C$331,'Total Efforts'!P32)</f>
        <v>0</v>
      </c>
      <c r="R32" s="17"/>
      <c r="S32" s="1" t="s">
        <v>5</v>
      </c>
      <c r="T32" s="3">
        <f>SUMIFS(BAP!$D$1:$D$295,BAP!$C$1:$C$295,'Total Efforts'!S32)</f>
        <v>0</v>
      </c>
      <c r="V32" s="1" t="s">
        <v>5</v>
      </c>
      <c r="W32" s="3">
        <f>SUMIFS(POLS!$D$1:$D$295,POLS!$C$1:$C$295,'Total Efforts'!V32)</f>
        <v>0</v>
      </c>
      <c r="Y32" s="126" t="s">
        <v>5</v>
      </c>
      <c r="Z32" s="127">
        <f t="shared" si="0"/>
        <v>0</v>
      </c>
    </row>
    <row r="33" spans="1:26">
      <c r="A33" s="1" t="s">
        <v>8</v>
      </c>
      <c r="B33" s="3">
        <f>SUMIFS(B2B!$D$1:$D$294,B2B!$C$1:$C$294,'Total Efforts'!A33)</f>
        <v>0</v>
      </c>
      <c r="C33" s="17"/>
      <c r="D33" s="1" t="s">
        <v>8</v>
      </c>
      <c r="E33" s="3">
        <f>SUMIFS(StampsCollectibles!$D$1:$D$295,StampsCollectibles!$C$1:$C$295,'Total Efforts'!D33)</f>
        <v>0</v>
      </c>
      <c r="F33" s="17"/>
      <c r="G33" s="1" t="s">
        <v>8</v>
      </c>
      <c r="H33" s="3">
        <f>SUMIFS(Factory!$D$1:$D$296,Factory!$C$1:$C$296,'Total Efforts'!G33)</f>
        <v>0</v>
      </c>
      <c r="I33" s="17"/>
      <c r="J33" s="1" t="s">
        <v>8</v>
      </c>
      <c r="K33" s="3">
        <f>SUMIFS(Service!$D$1:$D$295,Service!$C$1:$C$295,'Total Efforts'!J33)</f>
        <v>0</v>
      </c>
      <c r="L33" s="17"/>
      <c r="M33" s="1" t="s">
        <v>8</v>
      </c>
      <c r="N33" s="3">
        <f>SUMIFS(Performance!$D$1:$D$295,Performance!$C$1:$C$295,'Total Efforts'!M33)</f>
        <v>0</v>
      </c>
      <c r="O33" s="17"/>
      <c r="P33" s="1" t="s">
        <v>8</v>
      </c>
      <c r="Q33" s="3">
        <f>SUMIFS(Automation!$D$1:$D$331,Automation!$C$1:$C$331,'Total Efforts'!P33)</f>
        <v>15</v>
      </c>
      <c r="R33" s="17"/>
      <c r="S33" s="1" t="s">
        <v>8</v>
      </c>
      <c r="T33" s="3">
        <f>SUMIFS(BAP!$D$1:$D$295,BAP!$C$1:$C$295,'Total Efforts'!S33)</f>
        <v>0</v>
      </c>
      <c r="V33" s="1" t="s">
        <v>8</v>
      </c>
      <c r="W33" s="3">
        <f>SUMIFS(POLS!$D$1:$D$295,POLS!$C$1:$C$295,'Total Efforts'!V33)</f>
        <v>0</v>
      </c>
      <c r="Y33" s="126" t="s">
        <v>8</v>
      </c>
      <c r="Z33" s="127">
        <f t="shared" si="0"/>
        <v>15</v>
      </c>
    </row>
    <row r="34" spans="1:26">
      <c r="A34" s="1" t="s">
        <v>21</v>
      </c>
      <c r="B34" s="3">
        <f>SUMIFS(B2B!$D$1:$D$294,B2B!$C$1:$C$294,'Total Efforts'!A34)</f>
        <v>0</v>
      </c>
      <c r="C34" s="17"/>
      <c r="D34" s="1" t="s">
        <v>21</v>
      </c>
      <c r="E34" s="3">
        <f>SUMIFS(StampsCollectibles!$D$1:$D$295,StampsCollectibles!$C$1:$C$295,'Total Efforts'!D34)</f>
        <v>0</v>
      </c>
      <c r="F34" s="17"/>
      <c r="G34" s="1" t="s">
        <v>21</v>
      </c>
      <c r="H34" s="3">
        <f>SUMIFS(Factory!$D$1:$D$296,Factory!$C$1:$C$296,'Total Efforts'!G34)</f>
        <v>0</v>
      </c>
      <c r="I34" s="17"/>
      <c r="J34" s="1" t="s">
        <v>21</v>
      </c>
      <c r="K34" s="3">
        <f>SUMIFS(Service!$D$1:$D$295,Service!$C$1:$C$295,'Total Efforts'!J34)</f>
        <v>0</v>
      </c>
      <c r="L34" s="17"/>
      <c r="M34" s="1" t="s">
        <v>21</v>
      </c>
      <c r="N34" s="3">
        <f>SUMIFS(Performance!$D$1:$D$295,Performance!$C$1:$C$295,'Total Efforts'!M34)</f>
        <v>0</v>
      </c>
      <c r="O34" s="17"/>
      <c r="P34" s="1" t="s">
        <v>21</v>
      </c>
      <c r="Q34" s="3">
        <f>SUMIFS(Automation!$D$1:$D$331,Automation!$C$1:$C$331,'Total Efforts'!P34)</f>
        <v>0</v>
      </c>
      <c r="R34" s="17"/>
      <c r="S34" s="1" t="s">
        <v>21</v>
      </c>
      <c r="T34" s="3">
        <f>SUMIFS(BAP!$D$1:$D$295,BAP!$C$1:$C$295,'Total Efforts'!S34)</f>
        <v>0</v>
      </c>
      <c r="V34" s="1" t="s">
        <v>21</v>
      </c>
      <c r="W34" s="3">
        <f>SUMIFS(POLS!$D$1:$D$295,POLS!$C$1:$C$295,'Total Efforts'!V34)</f>
        <v>0</v>
      </c>
      <c r="Y34" s="126" t="s">
        <v>21</v>
      </c>
      <c r="Z34" s="127">
        <f t="shared" si="0"/>
        <v>0</v>
      </c>
    </row>
    <row r="35" spans="1:26">
      <c r="A35" s="1" t="s">
        <v>27</v>
      </c>
      <c r="B35" s="3">
        <f>SUMIFS(B2B!$D$1:$D$294,B2B!$C$1:$C$294,'Total Efforts'!A35)</f>
        <v>0</v>
      </c>
      <c r="D35" s="1" t="s">
        <v>27</v>
      </c>
      <c r="E35" s="3">
        <f>SUMIFS(StampsCollectibles!$D$1:$D$295,StampsCollectibles!$C$1:$C$295,'Total Efforts'!D35)</f>
        <v>0</v>
      </c>
      <c r="G35" s="1" t="s">
        <v>27</v>
      </c>
      <c r="H35" s="3">
        <f>SUMIFS(Factory!$D$1:$D$296,Factory!$C$1:$C$296,'Total Efforts'!G35)</f>
        <v>0</v>
      </c>
      <c r="J35" s="1" t="s">
        <v>27</v>
      </c>
      <c r="K35" s="3">
        <f>SUMIFS(Service!$D$1:$D$295,Service!$C$1:$C$295,'Total Efforts'!J35)</f>
        <v>0</v>
      </c>
      <c r="M35" s="1" t="s">
        <v>27</v>
      </c>
      <c r="N35" s="3">
        <f>SUMIFS(Performance!$D$1:$D$295,Performance!$C$1:$C$295,'Total Efforts'!M35)</f>
        <v>0</v>
      </c>
      <c r="P35" s="1" t="s">
        <v>27</v>
      </c>
      <c r="Q35" s="3">
        <f>SUMIFS(Automation!$D$1:$D$331,Automation!$C$1:$C$331,'Total Efforts'!P35)</f>
        <v>0</v>
      </c>
      <c r="S35" s="1" t="s">
        <v>27</v>
      </c>
      <c r="T35" s="3">
        <f>SUMIFS(BAP!$D$1:$D$295,BAP!$C$1:$C$295,'Total Efforts'!S35)</f>
        <v>0</v>
      </c>
      <c r="V35" s="1" t="s">
        <v>27</v>
      </c>
      <c r="W35" s="3">
        <f>SUMIFS(POLS!$D$1:$D$295,POLS!$C$1:$C$295,'Total Efforts'!V35)</f>
        <v>0</v>
      </c>
      <c r="Y35" s="126" t="s">
        <v>27</v>
      </c>
      <c r="Z35" s="127">
        <f t="shared" si="0"/>
        <v>0</v>
      </c>
    </row>
    <row r="36" spans="1:26">
      <c r="A36" s="1" t="s">
        <v>9</v>
      </c>
      <c r="B36" s="3">
        <f>SUMIFS(B2B!$D$1:$D$294,B2B!$C$1:$C$294,'Total Efforts'!A36)</f>
        <v>0</v>
      </c>
      <c r="D36" s="1" t="s">
        <v>9</v>
      </c>
      <c r="E36" s="3">
        <f>SUMIFS(StampsCollectibles!$D$1:$D$295,StampsCollectibles!$C$1:$C$295,'Total Efforts'!D36)</f>
        <v>0</v>
      </c>
      <c r="G36" s="1" t="s">
        <v>9</v>
      </c>
      <c r="H36" s="3">
        <f>SUMIFS(Factory!$D$1:$D$296,Factory!$C$1:$C$296,'Total Efforts'!G36)</f>
        <v>0</v>
      </c>
      <c r="J36" s="1" t="s">
        <v>9</v>
      </c>
      <c r="K36" s="3">
        <f>SUMIFS(Service!$D$1:$D$295,Service!$C$1:$C$295,'Total Efforts'!J36)</f>
        <v>0</v>
      </c>
      <c r="M36" s="1" t="s">
        <v>9</v>
      </c>
      <c r="N36" s="3">
        <f>SUMIFS(Performance!$D$1:$D$295,Performance!$C$1:$C$295,'Total Efforts'!M36)</f>
        <v>0</v>
      </c>
      <c r="P36" s="1" t="s">
        <v>9</v>
      </c>
      <c r="Q36" s="3">
        <f>SUMIFS(Automation!$D$1:$D$331,Automation!$C$1:$C$331,'Total Efforts'!P36)</f>
        <v>0</v>
      </c>
      <c r="S36" s="1" t="s">
        <v>9</v>
      </c>
      <c r="T36" s="3">
        <f>SUMIFS(BAP!$D$1:$D$295,BAP!$C$1:$C$295,'Total Efforts'!S36)</f>
        <v>0</v>
      </c>
      <c r="V36" s="1" t="s">
        <v>9</v>
      </c>
      <c r="W36" s="3">
        <f>SUMIFS(POLS!$D$1:$D$295,POLS!$C$1:$C$295,'Total Efforts'!V36)</f>
        <v>0</v>
      </c>
      <c r="Y36" s="126" t="s">
        <v>9</v>
      </c>
      <c r="Z36" s="127">
        <f t="shared" si="0"/>
        <v>0</v>
      </c>
    </row>
    <row r="37" spans="1:26">
      <c r="A37" s="1" t="s">
        <v>19</v>
      </c>
      <c r="B37" s="3">
        <f>SUMIFS(B2B!$D$1:$D$294,B2B!$C$1:$C$294,'Total Efforts'!A37)</f>
        <v>0</v>
      </c>
      <c r="D37" s="1" t="s">
        <v>19</v>
      </c>
      <c r="E37" s="3">
        <f>SUMIFS(StampsCollectibles!$D$1:$D$295,StampsCollectibles!$C$1:$C$295,'Total Efforts'!D37)</f>
        <v>0</v>
      </c>
      <c r="G37" s="1" t="s">
        <v>19</v>
      </c>
      <c r="H37" s="3">
        <f>SUMIFS(Factory!$D$1:$D$296,Factory!$C$1:$C$296,'Total Efforts'!G37)</f>
        <v>0</v>
      </c>
      <c r="J37" s="1" t="s">
        <v>19</v>
      </c>
      <c r="K37" s="3">
        <f>SUMIFS(Service!$D$1:$D$295,Service!$C$1:$C$295,'Total Efforts'!J37)</f>
        <v>0</v>
      </c>
      <c r="M37" s="1" t="s">
        <v>19</v>
      </c>
      <c r="N37" s="3">
        <f>SUMIFS(Performance!$D$1:$D$295,Performance!$C$1:$C$295,'Total Efforts'!M37)</f>
        <v>0</v>
      </c>
      <c r="P37" s="1" t="s">
        <v>19</v>
      </c>
      <c r="Q37" s="3">
        <f>SUMIFS(Automation!$D$1:$D$331,Automation!$C$1:$C$331,'Total Efforts'!P37)</f>
        <v>0</v>
      </c>
      <c r="S37" s="1" t="s">
        <v>19</v>
      </c>
      <c r="T37" s="3">
        <f>SUMIFS(BAP!$D$1:$D$295,BAP!$C$1:$C$295,'Total Efforts'!S37)</f>
        <v>0</v>
      </c>
      <c r="V37" s="1" t="s">
        <v>19</v>
      </c>
      <c r="W37" s="3">
        <f>SUMIFS(POLS!$D$1:$D$295,POLS!$C$1:$C$295,'Total Efforts'!V37)</f>
        <v>0</v>
      </c>
      <c r="Y37" s="126" t="s">
        <v>19</v>
      </c>
      <c r="Z37" s="127">
        <f t="shared" si="0"/>
        <v>0</v>
      </c>
    </row>
    <row r="38" spans="1:26">
      <c r="A38" s="1" t="s">
        <v>1</v>
      </c>
      <c r="B38" s="3">
        <f>SUMIFS(B2B!$D$1:$D$294,B2B!$C$1:$C$294,'Total Efforts'!A38)</f>
        <v>0</v>
      </c>
      <c r="D38" s="1" t="s">
        <v>1</v>
      </c>
      <c r="E38" s="3">
        <f>SUMIFS(StampsCollectibles!$D$1:$D$295,StampsCollectibles!$C$1:$C$295,'Total Efforts'!D38)</f>
        <v>0</v>
      </c>
      <c r="G38" s="1" t="s">
        <v>1</v>
      </c>
      <c r="H38" s="3">
        <f>SUMIFS(Factory!$D$1:$D$296,Factory!$C$1:$C$296,'Total Efforts'!G38)</f>
        <v>0</v>
      </c>
      <c r="J38" s="1" t="s">
        <v>1</v>
      </c>
      <c r="K38" s="3">
        <f>SUMIFS(Service!$D$1:$D$295,Service!$C$1:$C$295,'Total Efforts'!J38)</f>
        <v>0</v>
      </c>
      <c r="M38" s="1" t="s">
        <v>1</v>
      </c>
      <c r="N38" s="3">
        <f>SUMIFS(Performance!$D$1:$D$295,Performance!$C$1:$C$295,'Total Efforts'!M38)</f>
        <v>0</v>
      </c>
      <c r="P38" s="1" t="s">
        <v>1</v>
      </c>
      <c r="Q38" s="3">
        <f>SUMIFS(Automation!$D$1:$D$331,Automation!$C$1:$C$331,'Total Efforts'!P38)</f>
        <v>0</v>
      </c>
      <c r="S38" s="1" t="s">
        <v>1</v>
      </c>
      <c r="T38" s="3">
        <f>SUMIFS(BAP!$D$1:$D$295,BAP!$C$1:$C$295,'Total Efforts'!S38)</f>
        <v>0</v>
      </c>
      <c r="V38" s="1" t="s">
        <v>1</v>
      </c>
      <c r="W38" s="3">
        <f>SUMIFS(POLS!$D$1:$D$295,POLS!$C$1:$C$295,'Total Efforts'!V38)</f>
        <v>0</v>
      </c>
      <c r="Y38" s="126" t="s">
        <v>1</v>
      </c>
      <c r="Z38" s="127">
        <f t="shared" si="0"/>
        <v>0</v>
      </c>
    </row>
    <row r="39" spans="1:26">
      <c r="A39" s="5" t="s">
        <v>34</v>
      </c>
      <c r="B39" s="3">
        <f>SUMIFS(B2B!$D$1:$D$294,B2B!$C$1:$C$294,'Total Efforts'!A39)</f>
        <v>0</v>
      </c>
      <c r="D39" s="5" t="s">
        <v>34</v>
      </c>
      <c r="E39" s="3">
        <f>SUMIFS(StampsCollectibles!$D$1:$D$295,StampsCollectibles!$C$1:$C$295,'Total Efforts'!D39)</f>
        <v>0</v>
      </c>
      <c r="G39" s="5" t="s">
        <v>34</v>
      </c>
      <c r="H39" s="3">
        <f>SUMIFS(Factory!$D$1:$D$296,Factory!$C$1:$C$296,'Total Efforts'!G39)</f>
        <v>0</v>
      </c>
      <c r="J39" s="5" t="s">
        <v>34</v>
      </c>
      <c r="K39" s="3">
        <f>SUMIFS(Service!$D$1:$D$295,Service!$C$1:$C$295,'Total Efforts'!J39)</f>
        <v>0</v>
      </c>
      <c r="M39" s="5" t="s">
        <v>34</v>
      </c>
      <c r="N39" s="3">
        <f>SUMIFS(Performance!$D$1:$D$295,Performance!$C$1:$C$295,'Total Efforts'!M39)</f>
        <v>0</v>
      </c>
      <c r="P39" s="5" t="s">
        <v>34</v>
      </c>
      <c r="Q39" s="3">
        <f>SUMIFS(Automation!$D$1:$D$331,Automation!$C$1:$C$331,'Total Efforts'!P39)</f>
        <v>0</v>
      </c>
      <c r="S39" s="5" t="s">
        <v>34</v>
      </c>
      <c r="T39" s="3">
        <f>SUMIFS(BAP!$D$1:$D$295,BAP!$C$1:$C$295,'Total Efforts'!S39)</f>
        <v>0</v>
      </c>
      <c r="V39" s="5" t="s">
        <v>34</v>
      </c>
      <c r="W39" s="3">
        <f>SUMIFS(POLS!$D$1:$D$295,POLS!$C$1:$C$295,'Total Efforts'!V39)</f>
        <v>0</v>
      </c>
      <c r="Y39" s="128" t="s">
        <v>34</v>
      </c>
      <c r="Z39" s="127">
        <f t="shared" si="0"/>
        <v>0</v>
      </c>
    </row>
    <row r="40" spans="1:26">
      <c r="A40" s="5" t="s">
        <v>44</v>
      </c>
      <c r="B40" s="3">
        <f>SUMIFS(B2B!$D$1:$D$294,B2B!$C$1:$C$294,'Total Efforts'!A40)</f>
        <v>0</v>
      </c>
      <c r="D40" s="5" t="s">
        <v>44</v>
      </c>
      <c r="E40" s="3">
        <f>SUMIFS(StampsCollectibles!$D$1:$D$295,StampsCollectibles!$C$1:$C$295,'Total Efforts'!D40)</f>
        <v>0</v>
      </c>
      <c r="G40" s="5" t="s">
        <v>44</v>
      </c>
      <c r="H40" s="3">
        <f>SUMIFS(Factory!$D$1:$D$296,Factory!$C$1:$C$296,'Total Efforts'!G40)</f>
        <v>0</v>
      </c>
      <c r="J40" s="5" t="s">
        <v>44</v>
      </c>
      <c r="K40" s="3">
        <f>SUMIFS(Service!$D$1:$D$295,Service!$C$1:$C$295,'Total Efforts'!J40)</f>
        <v>0</v>
      </c>
      <c r="M40" s="5" t="s">
        <v>44</v>
      </c>
      <c r="N40" s="3">
        <f>SUMIFS(Performance!$D$1:$D$295,Performance!$C$1:$C$295,'Total Efforts'!M40)</f>
        <v>0</v>
      </c>
      <c r="P40" s="5" t="s">
        <v>44</v>
      </c>
      <c r="Q40" s="3">
        <f>SUMIFS(Automation!$D$1:$D$331,Automation!$C$1:$C$331,'Total Efforts'!P40)</f>
        <v>0</v>
      </c>
      <c r="S40" s="5" t="s">
        <v>44</v>
      </c>
      <c r="T40" s="3">
        <f>SUMIFS(BAP!$D$1:$D$295,BAP!$C$1:$C$295,'Total Efforts'!S40)</f>
        <v>0</v>
      </c>
      <c r="V40" s="5" t="s">
        <v>44</v>
      </c>
      <c r="W40" s="3">
        <f>SUMIFS(POLS!$D$1:$D$295,POLS!$C$1:$C$295,'Total Efforts'!V40)</f>
        <v>0</v>
      </c>
      <c r="Y40" s="128" t="s">
        <v>44</v>
      </c>
      <c r="Z40" s="127">
        <f t="shared" si="0"/>
        <v>0</v>
      </c>
    </row>
    <row r="41" spans="1:26">
      <c r="A41" s="5" t="s">
        <v>45</v>
      </c>
      <c r="B41" s="3">
        <f>SUMIFS(B2B!$D$1:$D$294,B2B!$C$1:$C$294,'Total Efforts'!A41)</f>
        <v>0</v>
      </c>
      <c r="D41" s="5" t="s">
        <v>45</v>
      </c>
      <c r="E41" s="3">
        <f>SUMIFS(StampsCollectibles!$D$1:$D$295,StampsCollectibles!$C$1:$C$295,'Total Efforts'!D41)</f>
        <v>0</v>
      </c>
      <c r="G41" s="5" t="s">
        <v>45</v>
      </c>
      <c r="H41" s="3">
        <f>SUMIFS(Factory!$D$1:$D$296,Factory!$C$1:$C$296,'Total Efforts'!G41)</f>
        <v>0</v>
      </c>
      <c r="J41" s="5" t="s">
        <v>45</v>
      </c>
      <c r="K41" s="3">
        <f>SUMIFS(Service!$D$1:$D$295,Service!$C$1:$C$295,'Total Efforts'!J41)</f>
        <v>0</v>
      </c>
      <c r="M41" s="5" t="s">
        <v>45</v>
      </c>
      <c r="N41" s="3">
        <f>SUMIFS(Performance!$D$1:$D$295,Performance!$C$1:$C$295,'Total Efforts'!M41)</f>
        <v>0</v>
      </c>
      <c r="P41" s="5" t="s">
        <v>45</v>
      </c>
      <c r="Q41" s="3">
        <f>SUMIFS(Automation!$D$1:$D$331,Automation!$C$1:$C$331,'Total Efforts'!P41)</f>
        <v>0</v>
      </c>
      <c r="S41" s="5" t="s">
        <v>45</v>
      </c>
      <c r="T41" s="3">
        <f>SUMIFS(BAP!$D$1:$D$295,BAP!$C$1:$C$295,'Total Efforts'!S41)</f>
        <v>0</v>
      </c>
      <c r="V41" s="5" t="s">
        <v>45</v>
      </c>
      <c r="W41" s="3">
        <f>SUMIFS(POLS!$D$1:$D$295,POLS!$C$1:$C$295,'Total Efforts'!V41)</f>
        <v>0</v>
      </c>
      <c r="Y41" s="128" t="s">
        <v>45</v>
      </c>
      <c r="Z41" s="127">
        <f t="shared" si="0"/>
        <v>0</v>
      </c>
    </row>
    <row r="42" spans="1:26">
      <c r="A42" s="1" t="s">
        <v>95</v>
      </c>
      <c r="B42" s="3">
        <f>SUMIFS(B2B!$D$1:$D$294,B2B!$C$1:$C$294,'Total Efforts'!A42)</f>
        <v>0</v>
      </c>
      <c r="D42" s="1" t="s">
        <v>95</v>
      </c>
      <c r="E42" s="3">
        <f>SUMIFS(StampsCollectibles!$D$1:$D$295,StampsCollectibles!$C$1:$C$295,'Total Efforts'!D42)</f>
        <v>0</v>
      </c>
      <c r="G42" s="1" t="s">
        <v>95</v>
      </c>
      <c r="H42" s="3">
        <f>SUMIFS(Factory!$D$1:$D$296,Factory!$C$1:$C$296,'Total Efforts'!G42)</f>
        <v>0</v>
      </c>
      <c r="J42" s="1" t="s">
        <v>95</v>
      </c>
      <c r="K42" s="3">
        <f>SUMIFS(Service!$D$1:$D$295,Service!$C$1:$C$295,'Total Efforts'!J42)</f>
        <v>0</v>
      </c>
      <c r="M42" s="1" t="s">
        <v>95</v>
      </c>
      <c r="N42" s="3">
        <f>SUMIFS(Performance!$D$1:$D$295,Performance!$C$1:$C$295,'Total Efforts'!M42)</f>
        <v>0</v>
      </c>
      <c r="P42" s="1" t="s">
        <v>95</v>
      </c>
      <c r="Q42" s="3">
        <f>SUMIFS(Automation!$D$1:$D$331,Automation!$C$1:$C$331,'Total Efforts'!P42)</f>
        <v>0</v>
      </c>
      <c r="S42" s="1" t="s">
        <v>95</v>
      </c>
      <c r="T42" s="3">
        <f>SUMIFS(BAP!$D$1:$D$295,BAP!$C$1:$C$295,'Total Efforts'!S42)</f>
        <v>0</v>
      </c>
      <c r="V42" s="1" t="s">
        <v>95</v>
      </c>
      <c r="W42" s="3">
        <f>SUMIFS(POLS!$D$1:$D$295,POLS!$C$1:$C$295,'Total Efforts'!V42)</f>
        <v>0</v>
      </c>
      <c r="Y42" s="126" t="s">
        <v>95</v>
      </c>
      <c r="Z42" s="127">
        <f t="shared" si="0"/>
        <v>0</v>
      </c>
    </row>
    <row r="43" spans="1:26">
      <c r="A43" s="5" t="s">
        <v>94</v>
      </c>
      <c r="B43" s="3">
        <f>SUMIFS(B2B!$D$1:$D$294,B2B!$C$1:$C$294,'Total Efforts'!A43)</f>
        <v>0</v>
      </c>
      <c r="D43" s="5" t="s">
        <v>94</v>
      </c>
      <c r="E43" s="3">
        <f>SUMIFS(StampsCollectibles!$D$1:$D$295,StampsCollectibles!$C$1:$C$295,'Total Efforts'!D43)</f>
        <v>0</v>
      </c>
      <c r="G43" s="5" t="s">
        <v>94</v>
      </c>
      <c r="H43" s="3">
        <f>SUMIFS(Factory!$D$1:$D$296,Factory!$C$1:$C$296,'Total Efforts'!G43)</f>
        <v>0</v>
      </c>
      <c r="J43" s="5" t="s">
        <v>94</v>
      </c>
      <c r="K43" s="3">
        <f>SUMIFS(Service!$D$1:$D$295,Service!$C$1:$C$295,'Total Efforts'!J43)</f>
        <v>0</v>
      </c>
      <c r="M43" s="5" t="s">
        <v>94</v>
      </c>
      <c r="N43" s="3">
        <f>SUMIFS(Performance!$D$1:$D$295,Performance!$C$1:$C$295,'Total Efforts'!M43)</f>
        <v>0</v>
      </c>
      <c r="P43" s="5" t="s">
        <v>94</v>
      </c>
      <c r="Q43" s="3">
        <f>SUMIFS(Automation!$D$1:$D$331,Automation!$C$1:$C$331,'Total Efforts'!P43)</f>
        <v>0</v>
      </c>
      <c r="S43" s="5" t="s">
        <v>94</v>
      </c>
      <c r="T43" s="3">
        <f>SUMIFS(BAP!$D$1:$D$295,BAP!$C$1:$C$295,'Total Efforts'!S43)</f>
        <v>0</v>
      </c>
      <c r="V43" s="5" t="s">
        <v>94</v>
      </c>
      <c r="W43" s="3">
        <f>SUMIFS(POLS!$D$1:$D$295,POLS!$C$1:$C$295,'Total Efforts'!V43)</f>
        <v>0</v>
      </c>
      <c r="Y43" s="128" t="s">
        <v>94</v>
      </c>
      <c r="Z43" s="127">
        <f t="shared" si="0"/>
        <v>0</v>
      </c>
    </row>
    <row r="44" spans="1:26">
      <c r="A44" s="5" t="s">
        <v>93</v>
      </c>
      <c r="B44" s="3">
        <f>SUMIFS(B2B!$D$1:$D$294,B2B!$C$1:$C$294,'Total Efforts'!A44)</f>
        <v>0</v>
      </c>
      <c r="D44" s="5" t="s">
        <v>93</v>
      </c>
      <c r="E44" s="3">
        <f>SUMIFS(StampsCollectibles!$D$1:$D$295,StampsCollectibles!$C$1:$C$295,'Total Efforts'!D44)</f>
        <v>0</v>
      </c>
      <c r="G44" s="5" t="s">
        <v>93</v>
      </c>
      <c r="H44" s="3">
        <f>SUMIFS(Factory!$D$1:$D$296,Factory!$C$1:$C$296,'Total Efforts'!G44)</f>
        <v>0</v>
      </c>
      <c r="J44" s="5" t="s">
        <v>93</v>
      </c>
      <c r="K44" s="3">
        <f>SUMIFS(Service!$D$1:$D$295,Service!$C$1:$C$295,'Total Efforts'!J44)</f>
        <v>0</v>
      </c>
      <c r="M44" s="5" t="s">
        <v>93</v>
      </c>
      <c r="N44" s="3">
        <f>SUMIFS(Performance!$D$1:$D$295,Performance!$C$1:$C$295,'Total Efforts'!M44)</f>
        <v>0</v>
      </c>
      <c r="P44" s="5" t="s">
        <v>93</v>
      </c>
      <c r="Q44" s="3">
        <f>SUMIFS(Automation!$D$1:$D$331,Automation!$C$1:$C$331,'Total Efforts'!P44)</f>
        <v>0</v>
      </c>
      <c r="S44" s="5" t="s">
        <v>93</v>
      </c>
      <c r="T44" s="3">
        <f>SUMIFS(BAP!$D$1:$D$295,BAP!$C$1:$C$295,'Total Efforts'!S44)</f>
        <v>0</v>
      </c>
      <c r="V44" s="5" t="s">
        <v>93</v>
      </c>
      <c r="W44" s="3">
        <f>SUMIFS(POLS!$D$1:$D$295,POLS!$C$1:$C$295,'Total Efforts'!V44)</f>
        <v>0</v>
      </c>
      <c r="Y44" s="128" t="s">
        <v>93</v>
      </c>
      <c r="Z44" s="127">
        <f t="shared" si="0"/>
        <v>0</v>
      </c>
    </row>
    <row r="45" spans="1:26">
      <c r="A45" s="5" t="s">
        <v>96</v>
      </c>
      <c r="B45" s="3">
        <f>SUMIFS(B2B!$D$1:$D$294,B2B!$C$1:$C$294,'Total Efforts'!A45)</f>
        <v>0</v>
      </c>
      <c r="D45" s="5" t="s">
        <v>96</v>
      </c>
      <c r="E45" s="3">
        <f>SUMIFS(StampsCollectibles!$D$1:$D$295,StampsCollectibles!$C$1:$C$295,'Total Efforts'!D45)</f>
        <v>0</v>
      </c>
      <c r="G45" s="5" t="s">
        <v>96</v>
      </c>
      <c r="H45" s="3">
        <f>SUMIFS(Factory!$D$1:$D$296,Factory!$C$1:$C$296,'Total Efforts'!G45)</f>
        <v>0</v>
      </c>
      <c r="J45" s="5" t="s">
        <v>96</v>
      </c>
      <c r="K45" s="3">
        <f>SUMIFS(Service!$D$1:$D$295,Service!$C$1:$C$295,'Total Efforts'!J45)</f>
        <v>0</v>
      </c>
      <c r="M45" s="5" t="s">
        <v>96</v>
      </c>
      <c r="N45" s="3">
        <f>SUMIFS(Performance!$D$1:$D$295,Performance!$C$1:$C$295,'Total Efforts'!M45)</f>
        <v>0</v>
      </c>
      <c r="P45" s="5" t="s">
        <v>96</v>
      </c>
      <c r="Q45" s="3">
        <f>SUMIFS(Automation!$D$1:$D$331,Automation!$C$1:$C$331,'Total Efforts'!P45)</f>
        <v>7.5</v>
      </c>
      <c r="S45" s="5" t="s">
        <v>96</v>
      </c>
      <c r="T45" s="3">
        <f>SUMIFS(BAP!$D$1:$D$295,BAP!$C$1:$C$295,'Total Efforts'!S45)</f>
        <v>0</v>
      </c>
      <c r="V45" s="5" t="s">
        <v>96</v>
      </c>
      <c r="W45" s="3">
        <f>SUMIFS(POLS!$D$1:$D$295,POLS!$C$1:$C$295,'Total Efforts'!V45)</f>
        <v>0</v>
      </c>
      <c r="Y45" s="128" t="s">
        <v>96</v>
      </c>
      <c r="Z45" s="127">
        <f t="shared" si="0"/>
        <v>7.5</v>
      </c>
    </row>
    <row r="46" spans="1:26">
      <c r="A46" s="5" t="s">
        <v>98</v>
      </c>
      <c r="B46" s="3">
        <f>SUMIFS(B2B!$D$1:$D$294,B2B!$C$1:$C$294,'Total Efforts'!A46)</f>
        <v>0</v>
      </c>
      <c r="D46" s="5" t="s">
        <v>98</v>
      </c>
      <c r="E46" s="3">
        <f>SUMIFS(StampsCollectibles!$D$1:$D$295,StampsCollectibles!$C$1:$C$295,'Total Efforts'!D46)</f>
        <v>0</v>
      </c>
      <c r="G46" s="5" t="s">
        <v>98</v>
      </c>
      <c r="H46" s="3">
        <f>SUMIFS(Factory!$D$1:$D$296,Factory!$C$1:$C$296,'Total Efforts'!G46)</f>
        <v>0</v>
      </c>
      <c r="J46" s="5" t="s">
        <v>98</v>
      </c>
      <c r="K46" s="3">
        <f>SUMIFS(Service!$D$1:$D$295,Service!$C$1:$C$295,'Total Efforts'!J46)</f>
        <v>0</v>
      </c>
      <c r="M46" s="5" t="s">
        <v>98</v>
      </c>
      <c r="N46" s="3">
        <f>SUMIFS(Performance!$D$1:$D$295,Performance!$C$1:$C$295,'Total Efforts'!M46)</f>
        <v>0</v>
      </c>
      <c r="P46" s="5" t="s">
        <v>98</v>
      </c>
      <c r="Q46" s="3">
        <f>SUMIFS(Automation!$D$1:$D$331,Automation!$C$1:$C$331,'Total Efforts'!P46)</f>
        <v>0</v>
      </c>
      <c r="S46" s="5" t="s">
        <v>98</v>
      </c>
      <c r="T46" s="3">
        <f>SUMIFS(BAP!$D$1:$D$295,BAP!$C$1:$C$295,'Total Efforts'!S46)</f>
        <v>0</v>
      </c>
      <c r="V46" s="5" t="s">
        <v>98</v>
      </c>
      <c r="W46" s="3">
        <f>SUMIFS(POLS!$D$1:$D$295,POLS!$C$1:$C$295,'Total Efforts'!V46)</f>
        <v>0</v>
      </c>
      <c r="Y46" s="128" t="s">
        <v>98</v>
      </c>
      <c r="Z46" s="127">
        <f t="shared" si="0"/>
        <v>0</v>
      </c>
    </row>
    <row r="47" spans="1:26">
      <c r="A47" s="5" t="s">
        <v>99</v>
      </c>
      <c r="B47" s="3">
        <f>SUMIFS(B2B!$D$1:$D$294,B2B!$C$1:$C$294,'Total Efforts'!A47)</f>
        <v>0</v>
      </c>
      <c r="D47" s="5" t="s">
        <v>99</v>
      </c>
      <c r="E47" s="3">
        <f>SUMIFS(StampsCollectibles!$D$1:$D$295,StampsCollectibles!$C$1:$C$295,'Total Efforts'!D47)</f>
        <v>0</v>
      </c>
      <c r="G47" s="5" t="s">
        <v>99</v>
      </c>
      <c r="H47" s="3">
        <f>SUMIFS(Factory!$D$1:$D$296,Factory!$C$1:$C$296,'Total Efforts'!G47)</f>
        <v>0</v>
      </c>
      <c r="J47" s="5" t="s">
        <v>99</v>
      </c>
      <c r="K47" s="3">
        <f>SUMIFS(Service!$D$1:$D$295,Service!$C$1:$C$295,'Total Efforts'!J47)</f>
        <v>0</v>
      </c>
      <c r="M47" s="5" t="s">
        <v>99</v>
      </c>
      <c r="N47" s="3">
        <f>SUMIFS(Performance!$D$1:$D$295,Performance!$C$1:$C$295,'Total Efforts'!M47)</f>
        <v>0</v>
      </c>
      <c r="P47" s="5" t="s">
        <v>99</v>
      </c>
      <c r="Q47" s="3">
        <f>SUMIFS(Automation!$D$1:$D$331,Automation!$C$1:$C$331,'Total Efforts'!P47)</f>
        <v>0</v>
      </c>
      <c r="S47" s="5" t="s">
        <v>99</v>
      </c>
      <c r="T47" s="3">
        <f>SUMIFS(BAP!$D$1:$D$295,BAP!$C$1:$C$295,'Total Efforts'!S47)</f>
        <v>0</v>
      </c>
      <c r="V47" s="5" t="s">
        <v>99</v>
      </c>
      <c r="W47" s="3">
        <f>SUMIFS(POLS!$D$1:$D$295,POLS!$C$1:$C$295,'Total Efforts'!V47)</f>
        <v>0</v>
      </c>
      <c r="Y47" s="128" t="s">
        <v>99</v>
      </c>
      <c r="Z47" s="127">
        <f t="shared" si="0"/>
        <v>0</v>
      </c>
    </row>
    <row r="48" spans="1:26">
      <c r="A48" s="5" t="s">
        <v>100</v>
      </c>
      <c r="B48" s="3">
        <f>SUMIFS(B2B!$D$1:$D$294,B2B!$C$1:$C$294,'Total Efforts'!A48)</f>
        <v>0</v>
      </c>
      <c r="D48" s="5" t="s">
        <v>100</v>
      </c>
      <c r="E48" s="3">
        <f>SUMIFS(StampsCollectibles!$D$1:$D$295,StampsCollectibles!$C$1:$C$295,'Total Efforts'!D48)</f>
        <v>0</v>
      </c>
      <c r="G48" s="5" t="s">
        <v>100</v>
      </c>
      <c r="H48" s="3">
        <f>SUMIFS(Factory!$D$1:$D$296,Factory!$C$1:$C$296,'Total Efforts'!G48)</f>
        <v>0</v>
      </c>
      <c r="J48" s="5" t="s">
        <v>100</v>
      </c>
      <c r="K48" s="3">
        <f>SUMIFS(Service!$D$1:$D$295,Service!$C$1:$C$295,'Total Efforts'!J48)</f>
        <v>0</v>
      </c>
      <c r="M48" s="5" t="s">
        <v>100</v>
      </c>
      <c r="N48" s="3">
        <f>SUMIFS(Performance!$D$1:$D$295,Performance!$C$1:$C$295,'Total Efforts'!M48)</f>
        <v>0</v>
      </c>
      <c r="P48" s="5" t="s">
        <v>100</v>
      </c>
      <c r="Q48" s="3">
        <f>SUMIFS(Automation!$D$1:$D$331,Automation!$C$1:$C$331,'Total Efforts'!P48)</f>
        <v>0</v>
      </c>
      <c r="S48" s="5" t="s">
        <v>100</v>
      </c>
      <c r="T48" s="3">
        <f>SUMIFS(BAP!$D$1:$D$295,BAP!$C$1:$C$295,'Total Efforts'!S48)</f>
        <v>0</v>
      </c>
      <c r="V48" s="5" t="s">
        <v>100</v>
      </c>
      <c r="W48" s="3">
        <f>SUMIFS(POLS!$D$1:$D$295,POLS!$C$1:$C$295,'Total Efforts'!V48)</f>
        <v>0</v>
      </c>
      <c r="Y48" s="128" t="s">
        <v>100</v>
      </c>
      <c r="Z48" s="127">
        <f t="shared" si="0"/>
        <v>0</v>
      </c>
    </row>
    <row r="49" spans="1:26">
      <c r="A49" s="5" t="s">
        <v>101</v>
      </c>
      <c r="B49" s="3">
        <f>SUMIFS(B2B!$D$1:$D$294,B2B!$C$1:$C$294,'Total Efforts'!A49)</f>
        <v>0</v>
      </c>
      <c r="D49" s="5" t="s">
        <v>101</v>
      </c>
      <c r="E49" s="3">
        <f>SUMIFS(StampsCollectibles!$D$1:$D$295,StampsCollectibles!$C$1:$C$295,'Total Efforts'!D49)</f>
        <v>0</v>
      </c>
      <c r="G49" s="5" t="s">
        <v>101</v>
      </c>
      <c r="H49" s="3">
        <f>SUMIFS(Factory!$D$1:$D$296,Factory!$C$1:$C$296,'Total Efforts'!G49)</f>
        <v>0</v>
      </c>
      <c r="J49" s="5" t="s">
        <v>101</v>
      </c>
      <c r="K49" s="3">
        <f>SUMIFS(Service!$D$1:$D$295,Service!$C$1:$C$295,'Total Efforts'!J49)</f>
        <v>0</v>
      </c>
      <c r="M49" s="5" t="s">
        <v>101</v>
      </c>
      <c r="N49" s="3">
        <f>SUMIFS(Performance!$D$1:$D$295,Performance!$C$1:$C$295,'Total Efforts'!M49)</f>
        <v>0</v>
      </c>
      <c r="P49" s="5" t="s">
        <v>101</v>
      </c>
      <c r="Q49" s="3">
        <f>SUMIFS(Automation!$D$1:$D$331,Automation!$C$1:$C$331,'Total Efforts'!P49)</f>
        <v>0</v>
      </c>
      <c r="S49" s="5" t="s">
        <v>101</v>
      </c>
      <c r="T49" s="3">
        <f>SUMIFS(BAP!$D$1:$D$295,BAP!$C$1:$C$295,'Total Efforts'!S49)</f>
        <v>0</v>
      </c>
      <c r="V49" s="5" t="s">
        <v>101</v>
      </c>
      <c r="W49" s="3">
        <f>SUMIFS(POLS!$D$1:$D$295,POLS!$C$1:$C$295,'Total Efforts'!V49)</f>
        <v>0</v>
      </c>
      <c r="Y49" s="128" t="s">
        <v>101</v>
      </c>
      <c r="Z49" s="127">
        <f t="shared" si="0"/>
        <v>0</v>
      </c>
    </row>
    <row r="50" spans="1:26">
      <c r="A50" s="5" t="s">
        <v>102</v>
      </c>
      <c r="B50" s="3">
        <f>SUMIFS(B2B!$D$1:$D$294,B2B!$C$1:$C$294,'Total Efforts'!A50)</f>
        <v>0</v>
      </c>
      <c r="D50" s="5" t="s">
        <v>102</v>
      </c>
      <c r="E50" s="3">
        <f>SUMIFS(StampsCollectibles!$D$1:$D$295,StampsCollectibles!$C$1:$C$295,'Total Efforts'!D50)</f>
        <v>0</v>
      </c>
      <c r="G50" s="5" t="s">
        <v>102</v>
      </c>
      <c r="H50" s="3">
        <f>SUMIFS(Factory!$D$1:$D$296,Factory!$C$1:$C$296,'Total Efforts'!G50)</f>
        <v>0</v>
      </c>
      <c r="J50" s="5" t="s">
        <v>102</v>
      </c>
      <c r="K50" s="3">
        <f>SUMIFS(Service!$D$1:$D$295,Service!$C$1:$C$295,'Total Efforts'!J50)</f>
        <v>0</v>
      </c>
      <c r="M50" s="5" t="s">
        <v>102</v>
      </c>
      <c r="N50" s="3">
        <f>SUMIFS(Performance!$D$1:$D$295,Performance!$C$1:$C$295,'Total Efforts'!M50)</f>
        <v>0</v>
      </c>
      <c r="P50" s="5" t="s">
        <v>102</v>
      </c>
      <c r="Q50" s="3">
        <f>SUMIFS(Automation!$D$1:$D$331,Automation!$C$1:$C$331,'Total Efforts'!P50)</f>
        <v>0</v>
      </c>
      <c r="S50" s="5" t="s">
        <v>102</v>
      </c>
      <c r="T50" s="3">
        <f>SUMIFS(BAP!$D$1:$D$295,BAP!$C$1:$C$295,'Total Efforts'!S50)</f>
        <v>0</v>
      </c>
      <c r="V50" s="5" t="s">
        <v>102</v>
      </c>
      <c r="W50" s="3">
        <f>SUMIFS(POLS!$D$1:$D$295,POLS!$C$1:$C$295,'Total Efforts'!V50)</f>
        <v>0</v>
      </c>
      <c r="Y50" s="128" t="s">
        <v>102</v>
      </c>
      <c r="Z50" s="127">
        <f t="shared" si="0"/>
        <v>0</v>
      </c>
    </row>
    <row r="51" spans="1:26">
      <c r="A51" s="5" t="s">
        <v>103</v>
      </c>
      <c r="B51" s="3">
        <f>SUMIFS(B2B!$D$1:$D$294,B2B!$C$1:$C$294,'Total Efforts'!A51)</f>
        <v>0</v>
      </c>
      <c r="D51" s="5" t="s">
        <v>103</v>
      </c>
      <c r="E51" s="3">
        <f>SUMIFS(StampsCollectibles!$D$1:$D$295,StampsCollectibles!$C$1:$C$295,'Total Efforts'!D51)</f>
        <v>0</v>
      </c>
      <c r="G51" s="5" t="s">
        <v>103</v>
      </c>
      <c r="H51" s="3">
        <f>SUMIFS(Factory!$D$1:$D$296,Factory!$C$1:$C$296,'Total Efforts'!G51)</f>
        <v>0</v>
      </c>
      <c r="J51" s="5" t="s">
        <v>103</v>
      </c>
      <c r="K51" s="3">
        <f>SUMIFS(Service!$D$1:$D$295,Service!$C$1:$C$295,'Total Efforts'!J51)</f>
        <v>0</v>
      </c>
      <c r="M51" s="5" t="s">
        <v>103</v>
      </c>
      <c r="N51" s="3">
        <f>SUMIFS(Performance!$D$1:$D$295,Performance!$C$1:$C$295,'Total Efforts'!M51)</f>
        <v>0</v>
      </c>
      <c r="P51" s="5" t="s">
        <v>103</v>
      </c>
      <c r="Q51" s="3">
        <f>SUMIFS(Automation!$D$1:$D$331,Automation!$C$1:$C$331,'Total Efforts'!P51)</f>
        <v>0</v>
      </c>
      <c r="S51" s="5" t="s">
        <v>103</v>
      </c>
      <c r="T51" s="3">
        <f>SUMIFS(BAP!$D$1:$D$295,BAP!$C$1:$C$295,'Total Efforts'!S51)</f>
        <v>0</v>
      </c>
      <c r="V51" s="5" t="s">
        <v>103</v>
      </c>
      <c r="W51" s="3">
        <f>SUMIFS(POLS!$D$1:$D$295,POLS!$C$1:$C$295,'Total Efforts'!V51)</f>
        <v>0</v>
      </c>
      <c r="Y51" s="128" t="s">
        <v>103</v>
      </c>
      <c r="Z51" s="127">
        <f t="shared" si="0"/>
        <v>0</v>
      </c>
    </row>
    <row r="52" spans="1:26">
      <c r="A52" s="5" t="s">
        <v>104</v>
      </c>
      <c r="B52" s="3">
        <f>SUMIFS(B2B!$D$1:$D$294,B2B!$C$1:$C$294,'Total Efforts'!A52)</f>
        <v>0</v>
      </c>
      <c r="D52" s="5" t="s">
        <v>104</v>
      </c>
      <c r="E52" s="3">
        <f>SUMIFS(StampsCollectibles!$D$1:$D$295,StampsCollectibles!$C$1:$C$295,'Total Efforts'!D52)</f>
        <v>0</v>
      </c>
      <c r="G52" s="5" t="s">
        <v>104</v>
      </c>
      <c r="H52" s="3">
        <f>SUMIFS(Factory!$D$1:$D$296,Factory!$C$1:$C$296,'Total Efforts'!G52)</f>
        <v>0</v>
      </c>
      <c r="J52" s="5" t="s">
        <v>104</v>
      </c>
      <c r="K52" s="3">
        <f>SUMIFS(Service!$D$1:$D$295,Service!$C$1:$C$295,'Total Efforts'!J52)</f>
        <v>0</v>
      </c>
      <c r="M52" s="5" t="s">
        <v>104</v>
      </c>
      <c r="N52" s="3">
        <f>SUMIFS(Performance!$D$1:$D$295,Performance!$C$1:$C$295,'Total Efforts'!M52)</f>
        <v>0</v>
      </c>
      <c r="P52" s="5" t="s">
        <v>104</v>
      </c>
      <c r="Q52" s="3">
        <f>SUMIFS(Automation!$D$1:$D$331,Automation!$C$1:$C$331,'Total Efforts'!P52)</f>
        <v>0</v>
      </c>
      <c r="S52" s="5" t="s">
        <v>104</v>
      </c>
      <c r="T52" s="3">
        <f>SUMIFS(BAP!$D$1:$D$295,BAP!$C$1:$C$295,'Total Efforts'!S52)</f>
        <v>0</v>
      </c>
      <c r="V52" s="5" t="s">
        <v>104</v>
      </c>
      <c r="W52" s="3">
        <f>SUMIFS(POLS!$D$1:$D$295,POLS!$C$1:$C$295,'Total Efforts'!V52)</f>
        <v>0</v>
      </c>
      <c r="Y52" s="128" t="s">
        <v>104</v>
      </c>
      <c r="Z52" s="127">
        <f t="shared" si="0"/>
        <v>0</v>
      </c>
    </row>
    <row r="53" spans="1:26" ht="15.75" thickBot="1">
      <c r="A53" s="5" t="s">
        <v>106</v>
      </c>
      <c r="B53" s="3">
        <f>SUMIFS(B2B!$D$1:$D$294,B2B!$C$1:$C$294,'Total Efforts'!A53)</f>
        <v>0</v>
      </c>
      <c r="D53" s="5" t="s">
        <v>106</v>
      </c>
      <c r="E53" s="3">
        <f>SUMIFS(StampsCollectibles!$D$1:$D$295,StampsCollectibles!$C$1:$C$295,'Total Efforts'!D53)</f>
        <v>0</v>
      </c>
      <c r="G53" s="5" t="s">
        <v>106</v>
      </c>
      <c r="H53" s="3">
        <f>SUMIFS(Factory!$D$1:$D$296,Factory!$C$1:$C$296,'Total Efforts'!G53)</f>
        <v>0</v>
      </c>
      <c r="J53" s="5" t="s">
        <v>106</v>
      </c>
      <c r="K53" s="3">
        <f>SUMIFS(Service!$D$1:$D$295,Service!$C$1:$C$295,'Total Efforts'!J53)</f>
        <v>0</v>
      </c>
      <c r="M53" s="5" t="s">
        <v>106</v>
      </c>
      <c r="N53" s="3">
        <f>SUMIFS(Performance!$D$1:$D$295,Performance!$C$1:$C$295,'Total Efforts'!M53)</f>
        <v>0</v>
      </c>
      <c r="P53" s="5" t="s">
        <v>106</v>
      </c>
      <c r="Q53" s="3">
        <f>SUMIFS(Automation!$D$1:$D$331,Automation!$C$1:$C$331,'Total Efforts'!P53)</f>
        <v>0</v>
      </c>
      <c r="S53" s="5" t="s">
        <v>106</v>
      </c>
      <c r="T53" s="3">
        <f>SUMIFS(BAP!$D$1:$D$295,BAP!$C$1:$C$295,'Total Efforts'!S53)</f>
        <v>0</v>
      </c>
      <c r="V53" s="5" t="s">
        <v>106</v>
      </c>
      <c r="W53" s="3">
        <f>SUMIFS(POLS!$D$1:$D$295,POLS!$C$1:$C$295,'Total Efforts'!V53)</f>
        <v>0</v>
      </c>
      <c r="Y53" s="129" t="s">
        <v>106</v>
      </c>
      <c r="Z53" s="130">
        <f t="shared" si="0"/>
        <v>0</v>
      </c>
    </row>
    <row r="54" spans="1:26" ht="15.75" thickBot="1">
      <c r="Y54" s="124" t="s">
        <v>156</v>
      </c>
      <c r="Z54" s="125">
        <f>SUM(Z3:Z53)</f>
        <v>6543</v>
      </c>
    </row>
    <row r="58" spans="1:26" ht="21">
      <c r="A58" s="84" t="s">
        <v>141</v>
      </c>
      <c r="M58" s="135" t="s">
        <v>157</v>
      </c>
    </row>
    <row r="61" spans="1:26">
      <c r="A61" s="186" t="s">
        <v>84</v>
      </c>
      <c r="B61" s="187" t="s">
        <v>110</v>
      </c>
      <c r="C61" s="187"/>
      <c r="D61" s="187"/>
      <c r="E61" s="187"/>
      <c r="F61" s="188" t="s">
        <v>116</v>
      </c>
      <c r="G61" s="188"/>
      <c r="H61" s="188"/>
      <c r="I61" s="188"/>
      <c r="M61" s="187" t="s">
        <v>110</v>
      </c>
      <c r="N61" s="187"/>
      <c r="O61" s="187"/>
      <c r="P61" s="187"/>
      <c r="Q61" s="188" t="s">
        <v>116</v>
      </c>
      <c r="R61" s="188"/>
      <c r="S61" s="188"/>
      <c r="T61" s="188"/>
    </row>
    <row r="62" spans="1:26">
      <c r="A62" s="186"/>
      <c r="B62" s="117" t="s">
        <v>111</v>
      </c>
      <c r="C62" s="118" t="s">
        <v>112</v>
      </c>
      <c r="D62" s="119" t="s">
        <v>113</v>
      </c>
      <c r="E62" s="120" t="s">
        <v>114</v>
      </c>
      <c r="F62" s="117" t="s">
        <v>111</v>
      </c>
      <c r="G62" s="118" t="s">
        <v>112</v>
      </c>
      <c r="H62" s="119" t="s">
        <v>113</v>
      </c>
      <c r="I62" s="120" t="s">
        <v>114</v>
      </c>
      <c r="M62" s="117" t="s">
        <v>111</v>
      </c>
      <c r="N62" s="118" t="s">
        <v>112</v>
      </c>
      <c r="O62" s="119" t="s">
        <v>113</v>
      </c>
      <c r="P62" s="120" t="s">
        <v>114</v>
      </c>
      <c r="Q62" s="117" t="s">
        <v>111</v>
      </c>
      <c r="R62" s="118" t="s">
        <v>112</v>
      </c>
      <c r="S62" s="119" t="s">
        <v>113</v>
      </c>
      <c r="T62" s="120" t="s">
        <v>114</v>
      </c>
    </row>
    <row r="63" spans="1:26">
      <c r="A63" s="186"/>
      <c r="B63" s="3">
        <f>SUM(B2B!E1:E994)</f>
        <v>0</v>
      </c>
      <c r="C63" s="3">
        <f>SUM(B2B!F1:F994)</f>
        <v>0</v>
      </c>
      <c r="D63" s="3">
        <f>SUM(B2B!G1:G994)</f>
        <v>0</v>
      </c>
      <c r="E63" s="3">
        <f>SUM(B2B!H1:H994)</f>
        <v>0</v>
      </c>
      <c r="F63" s="3">
        <f>SUM(B2B!I1:I994)</f>
        <v>0</v>
      </c>
      <c r="G63" s="3">
        <f>SUM(B2B!J1:J994)</f>
        <v>0</v>
      </c>
      <c r="H63" s="3">
        <f>SUM(B2B!K1:K994)</f>
        <v>0</v>
      </c>
      <c r="I63" s="3">
        <f>SUM(B2B!L1:L994)</f>
        <v>0</v>
      </c>
      <c r="M63" s="123">
        <f t="shared" ref="M63:T63" si="1">B63+B68+B73+B78+B83+B88+B93+B98</f>
        <v>0</v>
      </c>
      <c r="N63" s="123">
        <f t="shared" si="1"/>
        <v>0</v>
      </c>
      <c r="O63" s="123">
        <f t="shared" si="1"/>
        <v>0</v>
      </c>
      <c r="P63" s="123">
        <f t="shared" si="1"/>
        <v>0</v>
      </c>
      <c r="Q63" s="123">
        <f t="shared" si="1"/>
        <v>0</v>
      </c>
      <c r="R63" s="123">
        <f t="shared" si="1"/>
        <v>0</v>
      </c>
      <c r="S63" s="123">
        <f t="shared" si="1"/>
        <v>0</v>
      </c>
      <c r="T63" s="123">
        <f t="shared" si="1"/>
        <v>0</v>
      </c>
    </row>
    <row r="66" spans="1:9">
      <c r="A66" s="186" t="s">
        <v>139</v>
      </c>
      <c r="B66" s="187" t="s">
        <v>110</v>
      </c>
      <c r="C66" s="187"/>
      <c r="D66" s="187"/>
      <c r="E66" s="187"/>
      <c r="F66" s="188" t="s">
        <v>116</v>
      </c>
      <c r="G66" s="188"/>
      <c r="H66" s="188"/>
      <c r="I66" s="188"/>
    </row>
    <row r="67" spans="1:9">
      <c r="A67" s="186"/>
      <c r="B67" s="117" t="s">
        <v>111</v>
      </c>
      <c r="C67" s="118" t="s">
        <v>112</v>
      </c>
      <c r="D67" s="119" t="s">
        <v>113</v>
      </c>
      <c r="E67" s="120" t="s">
        <v>114</v>
      </c>
      <c r="F67" s="117" t="s">
        <v>111</v>
      </c>
      <c r="G67" s="118" t="s">
        <v>112</v>
      </c>
      <c r="H67" s="119" t="s">
        <v>113</v>
      </c>
      <c r="I67" s="120" t="s">
        <v>114</v>
      </c>
    </row>
    <row r="68" spans="1:9">
      <c r="A68" s="186"/>
      <c r="B68" s="3">
        <f>SUM(StampsCollectibles!E6:E1000)</f>
        <v>0</v>
      </c>
      <c r="C68" s="3">
        <f>SUM(StampsCollectibles!F6:F1000)</f>
        <v>0</v>
      </c>
      <c r="D68" s="3">
        <f>SUM(StampsCollectibles!G6:G1000)</f>
        <v>0</v>
      </c>
      <c r="E68" s="3">
        <f>SUM(StampsCollectibles!H6:H1000)</f>
        <v>0</v>
      </c>
      <c r="F68" s="3">
        <f>SUM(StampsCollectibles!I6:I1000)</f>
        <v>0</v>
      </c>
      <c r="G68" s="3">
        <f>SUM(StampsCollectibles!J6:J1000)</f>
        <v>0</v>
      </c>
      <c r="H68" s="3">
        <f>SUM(StampsCollectibles!K6:K1000)</f>
        <v>0</v>
      </c>
      <c r="I68" s="3">
        <f>SUM(StampsCollectibles!L6:L1000)</f>
        <v>0</v>
      </c>
    </row>
    <row r="71" spans="1:9">
      <c r="A71" s="186" t="s">
        <v>87</v>
      </c>
      <c r="B71" s="187" t="s">
        <v>110</v>
      </c>
      <c r="C71" s="187"/>
      <c r="D71" s="187"/>
      <c r="E71" s="187"/>
      <c r="F71" s="188" t="s">
        <v>116</v>
      </c>
      <c r="G71" s="188"/>
      <c r="H71" s="188"/>
      <c r="I71" s="188"/>
    </row>
    <row r="72" spans="1:9">
      <c r="A72" s="186"/>
      <c r="B72" s="117" t="s">
        <v>111</v>
      </c>
      <c r="C72" s="118" t="s">
        <v>112</v>
      </c>
      <c r="D72" s="119" t="s">
        <v>113</v>
      </c>
      <c r="E72" s="120" t="s">
        <v>114</v>
      </c>
      <c r="F72" s="117" t="s">
        <v>111</v>
      </c>
      <c r="G72" s="118" t="s">
        <v>112</v>
      </c>
      <c r="H72" s="119" t="s">
        <v>113</v>
      </c>
      <c r="I72" s="120" t="s">
        <v>114</v>
      </c>
    </row>
    <row r="73" spans="1:9">
      <c r="A73" s="186"/>
      <c r="B73" s="3">
        <f>SUM(Factory!E11:E1006)</f>
        <v>0</v>
      </c>
      <c r="C73" s="3">
        <f>SUM(Factory!F11:F1006)</f>
        <v>0</v>
      </c>
      <c r="D73" s="3">
        <f>SUM(Factory!G11:G1006)</f>
        <v>0</v>
      </c>
      <c r="E73" s="3">
        <f>SUM(Factory!H11:H1006)</f>
        <v>0</v>
      </c>
      <c r="F73" s="3">
        <f>SUM(Factory!I11:I1006)</f>
        <v>0</v>
      </c>
      <c r="G73" s="3">
        <f>SUM(Factory!J11:J1006)</f>
        <v>0</v>
      </c>
      <c r="H73" s="3">
        <f>SUM(Factory!K11:K1006)</f>
        <v>0</v>
      </c>
      <c r="I73" s="3">
        <f>SUM(Factory!L11:L1006)</f>
        <v>0</v>
      </c>
    </row>
    <row r="76" spans="1:9">
      <c r="A76" s="186" t="s">
        <v>88</v>
      </c>
      <c r="B76" s="187" t="s">
        <v>110</v>
      </c>
      <c r="C76" s="187"/>
      <c r="D76" s="187"/>
      <c r="E76" s="187"/>
      <c r="F76" s="188" t="s">
        <v>116</v>
      </c>
      <c r="G76" s="188"/>
      <c r="H76" s="188"/>
      <c r="I76" s="188"/>
    </row>
    <row r="77" spans="1:9">
      <c r="A77" s="186"/>
      <c r="B77" s="117" t="s">
        <v>111</v>
      </c>
      <c r="C77" s="118" t="s">
        <v>112</v>
      </c>
      <c r="D77" s="119" t="s">
        <v>113</v>
      </c>
      <c r="E77" s="120" t="s">
        <v>114</v>
      </c>
      <c r="F77" s="117" t="s">
        <v>111</v>
      </c>
      <c r="G77" s="118" t="s">
        <v>112</v>
      </c>
      <c r="H77" s="119" t="s">
        <v>113</v>
      </c>
      <c r="I77" s="120" t="s">
        <v>114</v>
      </c>
    </row>
    <row r="78" spans="1:9">
      <c r="A78" s="186"/>
      <c r="B78" s="3">
        <f>SUM(Service!E12:E1010)</f>
        <v>0</v>
      </c>
      <c r="C78" s="3">
        <f>SUM(Service!F12:F1010)</f>
        <v>0</v>
      </c>
      <c r="D78" s="3">
        <f>SUM(Service!G12:G1010)</f>
        <v>0</v>
      </c>
      <c r="E78" s="3">
        <f>SUM(Service!H12:H1010)</f>
        <v>0</v>
      </c>
      <c r="F78" s="3">
        <f>SUM(Service!I12:I1010)</f>
        <v>0</v>
      </c>
      <c r="G78" s="3">
        <f>SUM(Service!J12:J1010)</f>
        <v>0</v>
      </c>
      <c r="H78" s="3">
        <f>SUM(Service!K12:K1010)</f>
        <v>0</v>
      </c>
      <c r="I78" s="3">
        <f>SUM(Service!L12:L1010)</f>
        <v>0</v>
      </c>
    </row>
    <row r="81" spans="1:9">
      <c r="A81" s="186" t="s">
        <v>86</v>
      </c>
      <c r="B81" s="187" t="s">
        <v>110</v>
      </c>
      <c r="C81" s="187"/>
      <c r="D81" s="187"/>
      <c r="E81" s="187"/>
      <c r="F81" s="188" t="s">
        <v>116</v>
      </c>
      <c r="G81" s="188"/>
      <c r="H81" s="188"/>
      <c r="I81" s="188"/>
    </row>
    <row r="82" spans="1:9">
      <c r="A82" s="186"/>
      <c r="B82" s="117" t="s">
        <v>111</v>
      </c>
      <c r="C82" s="118" t="s">
        <v>112</v>
      </c>
      <c r="D82" s="119" t="s">
        <v>113</v>
      </c>
      <c r="E82" s="120" t="s">
        <v>114</v>
      </c>
      <c r="F82" s="117" t="s">
        <v>111</v>
      </c>
      <c r="G82" s="118" t="s">
        <v>112</v>
      </c>
      <c r="H82" s="119" t="s">
        <v>113</v>
      </c>
      <c r="I82" s="120" t="s">
        <v>114</v>
      </c>
    </row>
    <row r="83" spans="1:9">
      <c r="A83" s="186"/>
      <c r="B83" s="3">
        <f>SUM(POLS!E16:E1015)</f>
        <v>0</v>
      </c>
      <c r="C83" s="3">
        <f>SUM(POLS!F16:F1015)</f>
        <v>0</v>
      </c>
      <c r="D83" s="3">
        <f>SUM(POLS!G16:G1015)</f>
        <v>0</v>
      </c>
      <c r="E83" s="3">
        <f>SUM(POLS!H16:H1015)</f>
        <v>0</v>
      </c>
      <c r="F83" s="3">
        <f>SUM(POLS!I16:I1015)</f>
        <v>0</v>
      </c>
      <c r="G83" s="3">
        <f>SUM(POLS!J16:J1015)</f>
        <v>0</v>
      </c>
      <c r="H83" s="3">
        <f>SUM(POLS!K16:K1015)</f>
        <v>0</v>
      </c>
      <c r="I83" s="3">
        <f>SUM(POLS!L16:L1015)</f>
        <v>0</v>
      </c>
    </row>
    <row r="86" spans="1:9">
      <c r="A86" s="186" t="s">
        <v>89</v>
      </c>
      <c r="B86" s="187" t="s">
        <v>110</v>
      </c>
      <c r="C86" s="187"/>
      <c r="D86" s="187"/>
      <c r="E86" s="187"/>
      <c r="F86" s="188" t="s">
        <v>116</v>
      </c>
      <c r="G86" s="188"/>
      <c r="H86" s="188"/>
      <c r="I86" s="188"/>
    </row>
    <row r="87" spans="1:9">
      <c r="A87" s="186"/>
      <c r="B87" s="117" t="s">
        <v>111</v>
      </c>
      <c r="C87" s="118" t="s">
        <v>112</v>
      </c>
      <c r="D87" s="119" t="s">
        <v>113</v>
      </c>
      <c r="E87" s="120" t="s">
        <v>114</v>
      </c>
      <c r="F87" s="117" t="s">
        <v>111</v>
      </c>
      <c r="G87" s="118" t="s">
        <v>112</v>
      </c>
      <c r="H87" s="119" t="s">
        <v>113</v>
      </c>
      <c r="I87" s="120" t="s">
        <v>114</v>
      </c>
    </row>
    <row r="88" spans="1:9">
      <c r="A88" s="186"/>
      <c r="B88" s="3">
        <f>SUM(Performance!E21:E1020)</f>
        <v>0</v>
      </c>
      <c r="C88" s="3">
        <f>SUM(Performance!F21:F1020)</f>
        <v>0</v>
      </c>
      <c r="D88" s="3">
        <f>SUM(Performance!G21:G1020)</f>
        <v>0</v>
      </c>
      <c r="E88" s="3">
        <f>SUM(Performance!H21:H1020)</f>
        <v>0</v>
      </c>
      <c r="F88" s="3">
        <f>SUM(Performance!I21:I1020)</f>
        <v>0</v>
      </c>
      <c r="G88" s="3">
        <f>SUM(Performance!J21:J1020)</f>
        <v>0</v>
      </c>
      <c r="H88" s="3">
        <f>SUM(Performance!K21:K1020)</f>
        <v>0</v>
      </c>
      <c r="I88" s="3">
        <f>SUM(Performance!L21:L1020)</f>
        <v>0</v>
      </c>
    </row>
    <row r="91" spans="1:9">
      <c r="A91" s="186" t="s">
        <v>90</v>
      </c>
      <c r="B91" s="187" t="s">
        <v>110</v>
      </c>
      <c r="C91" s="187"/>
      <c r="D91" s="187"/>
      <c r="E91" s="187"/>
      <c r="F91" s="188" t="s">
        <v>116</v>
      </c>
      <c r="G91" s="188"/>
      <c r="H91" s="188"/>
      <c r="I91" s="188"/>
    </row>
    <row r="92" spans="1:9">
      <c r="A92" s="186"/>
      <c r="B92" s="117" t="s">
        <v>111</v>
      </c>
      <c r="C92" s="118" t="s">
        <v>112</v>
      </c>
      <c r="D92" s="119" t="s">
        <v>113</v>
      </c>
      <c r="E92" s="120" t="s">
        <v>114</v>
      </c>
      <c r="F92" s="117" t="s">
        <v>111</v>
      </c>
      <c r="G92" s="118" t="s">
        <v>112</v>
      </c>
      <c r="H92" s="119" t="s">
        <v>113</v>
      </c>
      <c r="I92" s="120" t="s">
        <v>114</v>
      </c>
    </row>
    <row r="93" spans="1:9">
      <c r="A93" s="186"/>
      <c r="B93" s="3">
        <f>SUM(Automation!E25:E1061)</f>
        <v>0</v>
      </c>
      <c r="C93" s="3">
        <f>SUM(Automation!F25:F1061)</f>
        <v>0</v>
      </c>
      <c r="D93" s="3">
        <f>SUM(Automation!G25:G1061)</f>
        <v>0</v>
      </c>
      <c r="E93" s="3">
        <f>SUM(Automation!H25:H1061)</f>
        <v>0</v>
      </c>
      <c r="F93" s="3">
        <f>SUM(Automation!I25:I1061)</f>
        <v>0</v>
      </c>
      <c r="G93" s="3">
        <f>SUM(Automation!J25:J1061)</f>
        <v>0</v>
      </c>
      <c r="H93" s="3">
        <f>SUM(Automation!K25:K1061)</f>
        <v>0</v>
      </c>
      <c r="I93" s="3">
        <f>SUM(Automation!L25:L1061)</f>
        <v>0</v>
      </c>
    </row>
    <row r="96" spans="1:9">
      <c r="A96" s="186" t="s">
        <v>85</v>
      </c>
      <c r="B96" s="187" t="s">
        <v>110</v>
      </c>
      <c r="C96" s="187"/>
      <c r="D96" s="187"/>
      <c r="E96" s="187"/>
      <c r="F96" s="188" t="s">
        <v>116</v>
      </c>
      <c r="G96" s="188"/>
      <c r="H96" s="188"/>
      <c r="I96" s="188"/>
    </row>
    <row r="97" spans="1:9">
      <c r="A97" s="186"/>
      <c r="B97" s="117" t="s">
        <v>111</v>
      </c>
      <c r="C97" s="118" t="s">
        <v>112</v>
      </c>
      <c r="D97" s="119" t="s">
        <v>113</v>
      </c>
      <c r="E97" s="120" t="s">
        <v>114</v>
      </c>
      <c r="F97" s="117" t="s">
        <v>111</v>
      </c>
      <c r="G97" s="118" t="s">
        <v>112</v>
      </c>
      <c r="H97" s="119" t="s">
        <v>113</v>
      </c>
      <c r="I97" s="120" t="s">
        <v>114</v>
      </c>
    </row>
    <row r="98" spans="1:9">
      <c r="A98" s="186"/>
      <c r="B98" s="3">
        <f>SUM(BAP!E31:E1030)</f>
        <v>0</v>
      </c>
      <c r="C98" s="3">
        <f>SUM(BAP!F31:F1030)</f>
        <v>0</v>
      </c>
      <c r="D98" s="3">
        <f>SUM(BAP!G31:G1030)</f>
        <v>0</v>
      </c>
      <c r="E98" s="3">
        <f>SUM(BAP!H31:H1030)</f>
        <v>0</v>
      </c>
      <c r="F98" s="3">
        <f>SUM(BAP!I31:I1030)</f>
        <v>0</v>
      </c>
      <c r="G98" s="3">
        <f>SUM(BAP!J31:J1030)</f>
        <v>0</v>
      </c>
      <c r="H98" s="3">
        <f>SUM(BAP!K31:K1030)</f>
        <v>0</v>
      </c>
      <c r="I98" s="3">
        <f>SUM(BAP!L31:L1030)</f>
        <v>0</v>
      </c>
    </row>
  </sheetData>
  <sheetProtection password="CC86" sheet="1" objects="1" scenarios="1"/>
  <mergeCells count="27">
    <mergeCell ref="Y1:Z1"/>
    <mergeCell ref="M61:P61"/>
    <mergeCell ref="Q61:T61"/>
    <mergeCell ref="B61:E61"/>
    <mergeCell ref="F61:I61"/>
    <mergeCell ref="A61:A63"/>
    <mergeCell ref="A66:A68"/>
    <mergeCell ref="B66:E66"/>
    <mergeCell ref="F66:I66"/>
    <mergeCell ref="A71:A73"/>
    <mergeCell ref="B71:E71"/>
    <mergeCell ref="F71:I71"/>
    <mergeCell ref="A76:A78"/>
    <mergeCell ref="B76:E76"/>
    <mergeCell ref="F76:I76"/>
    <mergeCell ref="A81:A83"/>
    <mergeCell ref="B81:E81"/>
    <mergeCell ref="F81:I81"/>
    <mergeCell ref="A96:A98"/>
    <mergeCell ref="B96:E96"/>
    <mergeCell ref="F96:I96"/>
    <mergeCell ref="A86:A88"/>
    <mergeCell ref="B86:E86"/>
    <mergeCell ref="F86:I86"/>
    <mergeCell ref="A91:A93"/>
    <mergeCell ref="B91:E91"/>
    <mergeCell ref="F91:I91"/>
  </mergeCells>
  <hyperlinks>
    <hyperlink ref="D1" location="'Stamps and Collectibles'!A1" display="Stamps and Collectibles"/>
    <hyperlink ref="A1" location="B2B!A1" display="B2B"/>
    <hyperlink ref="G1" location="Factory!A1" display="Factory"/>
    <hyperlink ref="J1" location="Service!A1" display="Service"/>
    <hyperlink ref="M1" location="Performance!A1" display="Performance"/>
    <hyperlink ref="P1" location="Automation!A1" display="Automation"/>
    <hyperlink ref="S1" location="BAP!A1" display="BAP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rgb="FFB2B2B2"/>
  </sheetPr>
  <dimension ref="A1:D51"/>
  <sheetViews>
    <sheetView showFormulas="1" zoomScale="80" zoomScaleNormal="80" workbookViewId="0"/>
  </sheetViews>
  <sheetFormatPr defaultRowHeight="15"/>
  <cols>
    <col min="1" max="1" width="25.85546875" customWidth="1"/>
    <col min="3" max="3" width="9.5703125" customWidth="1"/>
    <col min="4" max="4" width="11.42578125" customWidth="1"/>
    <col min="7" max="7" width="21.85546875" bestFit="1" customWidth="1"/>
  </cols>
  <sheetData>
    <row r="1" spans="1:4">
      <c r="A1" s="1" t="s">
        <v>13</v>
      </c>
      <c r="C1" s="190" t="s">
        <v>35</v>
      </c>
      <c r="D1" s="190"/>
    </row>
    <row r="2" spans="1:4">
      <c r="A2" s="1" t="s">
        <v>46</v>
      </c>
      <c r="C2" s="6" t="s">
        <v>36</v>
      </c>
      <c r="D2" s="7" t="s">
        <v>10</v>
      </c>
    </row>
    <row r="3" spans="1:4">
      <c r="A3" s="1" t="s">
        <v>33</v>
      </c>
      <c r="C3" s="8" t="s">
        <v>37</v>
      </c>
      <c r="D3" s="9">
        <f>10/60</f>
        <v>0.16666666666666666</v>
      </c>
    </row>
    <row r="4" spans="1:4">
      <c r="A4" s="1" t="s">
        <v>4</v>
      </c>
      <c r="C4" s="4" t="s">
        <v>38</v>
      </c>
      <c r="D4" s="4">
        <f>1/4</f>
        <v>0.25</v>
      </c>
    </row>
    <row r="5" spans="1:4">
      <c r="A5" s="1" t="s">
        <v>3</v>
      </c>
      <c r="C5" s="4" t="s">
        <v>39</v>
      </c>
      <c r="D5" s="10">
        <f>20/60</f>
        <v>0.33333333333333331</v>
      </c>
    </row>
    <row r="6" spans="1:4">
      <c r="A6" s="1" t="s">
        <v>16</v>
      </c>
      <c r="C6" s="4" t="s">
        <v>40</v>
      </c>
      <c r="D6" s="10">
        <f>25/60</f>
        <v>0.41666666666666669</v>
      </c>
    </row>
    <row r="7" spans="1:4">
      <c r="A7" s="1" t="s">
        <v>15</v>
      </c>
      <c r="C7" s="4" t="s">
        <v>41</v>
      </c>
      <c r="D7" s="4">
        <f>30/60</f>
        <v>0.5</v>
      </c>
    </row>
    <row r="8" spans="1:4">
      <c r="A8" s="1" t="s">
        <v>30</v>
      </c>
      <c r="C8" s="11" t="s">
        <v>42</v>
      </c>
      <c r="D8" s="10">
        <f>40/60</f>
        <v>0.66666666666666663</v>
      </c>
    </row>
    <row r="9" spans="1:4">
      <c r="A9" s="1" t="s">
        <v>105</v>
      </c>
      <c r="C9" s="4" t="s">
        <v>43</v>
      </c>
      <c r="D9" s="4">
        <f>45/60</f>
        <v>0.75</v>
      </c>
    </row>
    <row r="10" spans="1:4">
      <c r="A10" s="1" t="s">
        <v>28</v>
      </c>
    </row>
    <row r="11" spans="1:4">
      <c r="A11" s="1" t="s">
        <v>18</v>
      </c>
    </row>
    <row r="12" spans="1:4">
      <c r="A12" s="1" t="s">
        <v>29</v>
      </c>
    </row>
    <row r="13" spans="1:4">
      <c r="A13" s="1" t="s">
        <v>7</v>
      </c>
    </row>
    <row r="14" spans="1:4">
      <c r="A14" s="1" t="s">
        <v>0</v>
      </c>
    </row>
    <row r="15" spans="1:4">
      <c r="A15" s="1" t="s">
        <v>24</v>
      </c>
    </row>
    <row r="16" spans="1:4">
      <c r="A16" s="1" t="s">
        <v>97</v>
      </c>
    </row>
    <row r="17" spans="1:1">
      <c r="A17" s="1" t="s">
        <v>26</v>
      </c>
    </row>
    <row r="18" spans="1:1">
      <c r="A18" s="1" t="s">
        <v>22</v>
      </c>
    </row>
    <row r="19" spans="1:1">
      <c r="A19" s="1" t="s">
        <v>32</v>
      </c>
    </row>
    <row r="20" spans="1:1">
      <c r="A20" s="1" t="s">
        <v>6</v>
      </c>
    </row>
    <row r="21" spans="1:1">
      <c r="A21" s="1" t="s">
        <v>2</v>
      </c>
    </row>
    <row r="22" spans="1:1">
      <c r="A22" s="1" t="s">
        <v>31</v>
      </c>
    </row>
    <row r="23" spans="1:1">
      <c r="A23" s="1" t="s">
        <v>23</v>
      </c>
    </row>
    <row r="24" spans="1:1">
      <c r="A24" s="1" t="s">
        <v>25</v>
      </c>
    </row>
    <row r="25" spans="1:1">
      <c r="A25" s="1" t="s">
        <v>20</v>
      </c>
    </row>
    <row r="26" spans="1:1">
      <c r="A26" s="1" t="s">
        <v>11</v>
      </c>
    </row>
    <row r="27" spans="1:1">
      <c r="A27" s="1" t="s">
        <v>12</v>
      </c>
    </row>
    <row r="28" spans="1:1">
      <c r="A28" s="1" t="s">
        <v>14</v>
      </c>
    </row>
    <row r="29" spans="1:1">
      <c r="A29" s="1" t="s">
        <v>17</v>
      </c>
    </row>
    <row r="30" spans="1:1">
      <c r="A30" s="1" t="s">
        <v>5</v>
      </c>
    </row>
    <row r="31" spans="1:1">
      <c r="A31" s="1" t="s">
        <v>8</v>
      </c>
    </row>
    <row r="32" spans="1:1">
      <c r="A32" s="1" t="s">
        <v>21</v>
      </c>
    </row>
    <row r="33" spans="1:1">
      <c r="A33" s="1" t="s">
        <v>27</v>
      </c>
    </row>
    <row r="34" spans="1:1">
      <c r="A34" s="1" t="s">
        <v>9</v>
      </c>
    </row>
    <row r="35" spans="1:1">
      <c r="A35" s="1" t="s">
        <v>19</v>
      </c>
    </row>
    <row r="36" spans="1:1">
      <c r="A36" s="1" t="s">
        <v>1</v>
      </c>
    </row>
    <row r="37" spans="1:1">
      <c r="A37" s="5" t="s">
        <v>34</v>
      </c>
    </row>
    <row r="38" spans="1:1">
      <c r="A38" s="5" t="s">
        <v>44</v>
      </c>
    </row>
    <row r="39" spans="1:1">
      <c r="A39" s="5" t="s">
        <v>45</v>
      </c>
    </row>
    <row r="40" spans="1:1">
      <c r="A40" s="1" t="s">
        <v>95</v>
      </c>
    </row>
    <row r="41" spans="1:1">
      <c r="A41" s="5" t="s">
        <v>94</v>
      </c>
    </row>
    <row r="42" spans="1:1">
      <c r="A42" s="5" t="s">
        <v>93</v>
      </c>
    </row>
    <row r="43" spans="1:1">
      <c r="A43" s="5" t="s">
        <v>96</v>
      </c>
    </row>
    <row r="44" spans="1:1">
      <c r="A44" s="5" t="s">
        <v>98</v>
      </c>
    </row>
    <row r="45" spans="1:1">
      <c r="A45" s="5" t="s">
        <v>99</v>
      </c>
    </row>
    <row r="46" spans="1:1">
      <c r="A46" s="5" t="s">
        <v>100</v>
      </c>
    </row>
    <row r="47" spans="1:1">
      <c r="A47" s="5" t="s">
        <v>101</v>
      </c>
    </row>
    <row r="48" spans="1:1">
      <c r="A48" s="5" t="s">
        <v>102</v>
      </c>
    </row>
    <row r="49" spans="1:1">
      <c r="A49" s="5" t="s">
        <v>103</v>
      </c>
    </row>
    <row r="50" spans="1:1">
      <c r="A50" s="5" t="s">
        <v>104</v>
      </c>
    </row>
    <row r="51" spans="1:1">
      <c r="A51" s="5" t="s">
        <v>106</v>
      </c>
    </row>
  </sheetData>
  <sheetProtection password="CC86" sheet="1" objects="1" scenarios="1" selectLockedCells="1" selectUnlockedCells="1"/>
  <sortState ref="A1:A52">
    <sortCondition ref="A1"/>
  </sortState>
  <mergeCells count="1"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Teams</vt:lpstr>
      <vt:lpstr>B2B</vt:lpstr>
      <vt:lpstr>StampsCollectibles</vt:lpstr>
      <vt:lpstr>Factory</vt:lpstr>
      <vt:lpstr>Service</vt:lpstr>
      <vt:lpstr>POLS</vt:lpstr>
      <vt:lpstr>Performance</vt:lpstr>
      <vt:lpstr>Automation</vt:lpstr>
      <vt:lpstr>BAP</vt:lpstr>
      <vt:lpstr>Causal Analysis</vt:lpstr>
      <vt:lpstr>Total Efforts</vt:lpstr>
      <vt:lpstr>Tasks List</vt:lpstr>
      <vt:lpstr>Tasks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2015-05-29T12:39:11Z</dcterms:modified>
</cp:coreProperties>
</file>